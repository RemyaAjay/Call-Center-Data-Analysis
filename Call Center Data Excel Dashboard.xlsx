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C:\1 Data Analyst Projects\"/>
    </mc:Choice>
  </mc:AlternateContent>
  <xr:revisionPtr revIDLastSave="0" documentId="13_ncr:1_{F1A97FAE-C6DE-412B-B22D-610353F5E317}" xr6:coauthVersionLast="47" xr6:coauthVersionMax="47" xr10:uidLastSave="{00000000-0000-0000-0000-000000000000}"/>
  <bookViews>
    <workbookView xWindow="-108" yWindow="-108" windowWidth="23256" windowHeight="12456" activeTab="2" xr2:uid="{26D4546B-D2A1-4444-8EAF-A6228F96F0C1}"/>
  </bookViews>
  <sheets>
    <sheet name="Pivots" sheetId="7" r:id="rId1"/>
    <sheet name="Data" sheetId="2" r:id="rId2"/>
    <sheet name="Customer Center Report" sheetId="5" r:id="rId3"/>
    <sheet name="Assets" sheetId="4" r:id="rId4"/>
  </sheets>
  <definedNames>
    <definedName name="_xlnm._FilterDatabase" localSheetId="1" hidden="1">Data!$B$3:$H$1003</definedName>
    <definedName name="_xlcn.WorksheetConnection_CallCenterData.xlsxcalls1" hidden="1">calls[]</definedName>
    <definedName name="_xlcn.WorksheetConnection_CallCenterData.xlsxcustomers1" hidden="1">customers[]</definedName>
    <definedName name="Slicer_Representative">#N/A</definedName>
  </definedNames>
  <calcPr calcId="191029"/>
  <pivotCaches>
    <pivotCache cacheId="0" r:id="rId5"/>
    <pivotCache cacheId="1" r:id="rId6"/>
    <pivotCache cacheId="2" r:id="rId7"/>
    <pivotCache cacheId="102" r:id="rId8"/>
    <pivotCache cacheId="105" r:id="rId9"/>
    <pivotCache cacheId="108" r:id="rId10"/>
    <pivotCache cacheId="111" r:id="rId11"/>
    <pivotCache cacheId="114" r:id="rId12"/>
    <pivotCache cacheId="117"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Data.xlsx!customers"/>
          <x15:modelTable id="calls" name="calls" connection="WorksheetConnection_Call Center Data.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K32" i="7" l="1"/>
  <c r="H34" i="7"/>
  <c r="J35" i="7" l="1"/>
  <c r="I36" i="7"/>
  <c r="I35" i="7"/>
  <c r="G34" i="7"/>
  <c r="G35" i="7"/>
  <c r="H35" i="7"/>
  <c r="G36" i="7"/>
  <c r="H36" i="7"/>
  <c r="G37" i="7"/>
  <c r="H37" i="7"/>
  <c r="G38" i="7"/>
  <c r="H38" i="7"/>
  <c r="F35" i="7"/>
  <c r="F36" i="7"/>
  <c r="J36" i="7" s="1"/>
  <c r="F37" i="7"/>
  <c r="J37" i="7" s="1"/>
  <c r="F38" i="7"/>
  <c r="J38" i="7" s="1"/>
  <c r="F34" i="7"/>
  <c r="J34" i="7" s="1"/>
  <c r="I37" i="7" l="1"/>
  <c r="I38" i="7"/>
  <c r="I34"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A8B6F1-A28B-4AB9-99FF-DE1320DDBE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6160FE-0778-48D0-AAD2-7EAF7B524AD7}" name="WorksheetConnection_Call Center Data.xlsx!calls" type="102" refreshedVersion="8" minRefreshableVersion="5">
    <extLst>
      <ext xmlns:x15="http://schemas.microsoft.com/office/spreadsheetml/2010/11/main" uri="{DE250136-89BD-433C-8126-D09CA5730AF9}">
        <x15:connection id="calls" autoDelete="1">
          <x15:rangePr sourceName="_xlcn.WorksheetConnection_CallCenterData.xlsxcalls1"/>
        </x15:connection>
      </ext>
    </extLst>
  </connection>
  <connection id="3" xr16:uid="{2B61D84D-BC8A-438F-9E54-1E9722E59A1F}" name="WorksheetConnection_Call Center Data.xlsx!customers" type="102" refreshedVersion="8" minRefreshableVersion="5">
    <extLst>
      <ext xmlns:x15="http://schemas.microsoft.com/office/spreadsheetml/2010/11/main" uri="{DE250136-89BD-433C-8126-D09CA5730AF9}">
        <x15:connection id="customers">
          <x15:rangePr sourceName="_xlcn.WorksheetConnection_CallCenterData.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<sst xmlns="http://schemas.openxmlformats.org/spreadsheetml/2006/main" count="3188" uniqueCount="1078">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</sst>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0,&quot;K&quot;"/>
    <numFmt numFmtId="168" formatCode="&quot;₹&quot;\ #,##0;#,##0\ \-&quot;₹&quot;;&quot;₹&quot;\ #,##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6"/>
      <color rgb="FFFF0000"/>
      <name val="Aptos"/>
      <family val="2"/>
      <scheme val="minor"/>
    </font>
    <font>
      <b/>
      <sz val="16"/>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6600"/>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167" fontId="0" fillId="0" borderId="0" xfId="0" applyNumberFormat="1" applyAlignment="1">
      <alignment horizontal="left"/>
    </xf>
    <xf numFmtId="0" fontId="0" fillId="4" borderId="0" xfId="0" applyFill="1" applyAlignment="1">
      <alignment horizontal="left"/>
    </xf>
    <xf numFmtId="0" fontId="0" fillId="0" borderId="0" xfId="0" applyAlignment="1">
      <alignment horizontal="left" indent="1"/>
    </xf>
    <xf numFmtId="0" fontId="4" fillId="3" borderId="0" xfId="0" applyFont="1" applyFill="1"/>
    <xf numFmtId="0" fontId="5" fillId="3" borderId="0" xfId="0" applyFont="1" applyFill="1"/>
    <xf numFmtId="0" fontId="1" fillId="5" borderId="11" xfId="0" applyFont="1" applyFill="1" applyBorder="1"/>
    <xf numFmtId="0" fontId="1" fillId="0" borderId="11" xfId="0" applyFont="1" applyBorder="1"/>
    <xf numFmtId="0" fontId="1" fillId="0" borderId="11" xfId="0" applyFont="1" applyBorder="1" applyAlignment="1">
      <alignment horizontal="left"/>
    </xf>
    <xf numFmtId="0" fontId="1" fillId="5" borderId="10" xfId="0" applyFont="1" applyFill="1" applyBorder="1" applyAlignment="1">
      <alignment horizontal="left"/>
    </xf>
    <xf numFmtId="165" fontId="1" fillId="5" borderId="10" xfId="0" applyNumberFormat="1" applyFont="1" applyFill="1" applyBorder="1"/>
    <xf numFmtId="0" fontId="0" fillId="0" borderId="0" xfId="0" applyNumberFormat="1"/>
    <xf numFmtId="168" fontId="0" fillId="0" borderId="0" xfId="0" applyNumberFormat="1"/>
  </cellXfs>
  <cellStyles count="1">
    <cellStyle name="Normal" xfId="0" builtinId="0"/>
  </cellStyles>
  <dxfs count="27">
    <dxf>
      <fill>
        <patternFill patternType="solid">
          <bgColor rgb="FFFF6600"/>
        </patternFill>
      </fill>
    </dxf>
    <dxf>
      <numFmt numFmtId="1" formatCode="0"/>
    </dxf>
    <dxf>
      <fill>
        <patternFill patternType="solid">
          <bgColor rgb="FFFF6600"/>
        </patternFill>
      </fill>
    </dxf>
    <dxf>
      <numFmt numFmtId="1" formatCode="0"/>
    </dxf>
    <dxf>
      <fill>
        <patternFill patternType="solid">
          <bgColor rgb="FFFF6600"/>
        </patternFill>
      </fill>
    </dxf>
    <dxf>
      <numFmt numFmtId="1" formatCode="0"/>
    </dxf>
    <dxf>
      <fill>
        <patternFill patternType="solid">
          <bgColor rgb="FFFF6600"/>
        </patternFill>
      </fill>
    </dxf>
    <dxf>
      <numFmt numFmtId="1" formatCode="0"/>
    </dxf>
    <dxf>
      <fill>
        <patternFill patternType="solid">
          <bgColor rgb="FFFF6600"/>
        </patternFill>
      </fill>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dxf>
    <dxf>
      <fill>
        <patternFill>
          <bgColor rgb="FFFFC0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xr9:uid="{25BABDA2-DB3D-41F6-98D0-3EE7CBB0176F}">
      <tableStyleElement type="wholeTable" dxfId="26"/>
    </tableStyle>
    <tableStyle name="Slicer Style 2" pivot="0" table="0" count="1" xr9:uid="{1D8AF1B3-0774-42AE-9CFA-3F4171FE4F5A}">
      <tableStyleElement type="wholeTable" dxfId="25"/>
    </tableStyle>
    <tableStyle name="Slicer Style 3" pivot="0" table="0" count="0" xr9:uid="{80775F00-1DF5-4449-9A0C-22B77400D2B2}"/>
    <tableStyle name="Slicer Style 4" pivot="0" table="0" count="2" xr9:uid="{7485CF85-DEFB-4077-BDA8-4B7BCAAA4170}"/>
  </tableStyles>
  <colors>
    <mruColors>
      <color rgb="FFFF6600"/>
      <color rgb="FFFF9933"/>
      <color rgb="FFFF0000"/>
      <color rgb="FFFDF8F3"/>
    </mruColors>
  </colors>
  <extLst>
    <ext xmlns:x14="http://schemas.microsoft.com/office/spreadsheetml/2009/9/main" uri="{46F421CA-312F-682f-3DD2-61675219B42D}">
      <x14:dxfs count="2">
        <dxf>
          <fill>
            <patternFill>
              <bgColor rgb="FFFF9933"/>
            </patternFill>
          </fill>
        </dxf>
        <dxf>
          <fill>
            <patternFill>
              <bgColor theme="0" tint="-0.14996795556505021"/>
            </patternFill>
          </fill>
        </dxf>
      </x14:dxfs>
    </ext>
    <ext xmlns:x14="http://schemas.microsoft.com/office/spreadsheetml/2009/9/main" uri="{EB79DEF2-80B8-43e5-95BD-54CBDDF9020C}">
      <x14:slicerStyles defaultSlicerStyle="Slicer Style 2">
        <x14:slicerStyle name="Slicer Style 2"/>
        <x14:slicerStyle name="Slicer Style 3"/>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4.xml"/><Relationship Id="rId39" Type="http://schemas.microsoft.com/office/2017/06/relationships/rdRichValueStructure" Target="richData/rdrichvaluestructure.xml"/><Relationship Id="rId21" Type="http://schemas.openxmlformats.org/officeDocument/2006/relationships/powerPivotData" Target="model/item.data"/><Relationship Id="rId34" Type="http://schemas.openxmlformats.org/officeDocument/2006/relationships/customXml" Target="../customXml/item12.xml"/><Relationship Id="rId42" Type="http://schemas.microsoft.com/office/2017/06/relationships/rdRichValue" Target="richData/rdrichvalue.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Pivots!$F$34:$F$38</c:f>
              <c:strCache>
                <c:ptCount val="5"/>
                <c:pt idx="0">
                  <c:v>R01</c:v>
                </c:pt>
                <c:pt idx="1">
                  <c:v>R02</c:v>
                </c:pt>
                <c:pt idx="2">
                  <c:v>R03</c:v>
                </c:pt>
                <c:pt idx="3">
                  <c:v>R04</c:v>
                </c:pt>
                <c:pt idx="4">
                  <c:v>R05</c:v>
                </c:pt>
              </c:strCache>
            </c:strRef>
          </c:cat>
          <c:val>
            <c:numRef>
              <c:f>Pivots!$G$34:$G$38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8D7-4CE9-A996-D1AAC350FA12}"/>
            </c:ext>
          </c:extLst>
        </c:ser>
        <c:dLbls>
          <c:showLegendKey val="0"/>
          <c:showVal val="0"/>
          <c:showCatName val="0"/>
          <c:showSerName val="0"/>
          <c:showPercent val="0"/>
          <c:showBubbleSize val="0"/>
        </c:dLbls>
        <c:gapWidth val="25"/>
        <c:axId val="1673593967"/>
        <c:axId val="1673591087"/>
      </c:barChart>
      <c:catAx>
        <c:axId val="16735939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91087"/>
        <c:crosses val="autoZero"/>
        <c:auto val="1"/>
        <c:lblAlgn val="ctr"/>
        <c:lblOffset val="100"/>
        <c:noMultiLvlLbl val="0"/>
      </c:catAx>
      <c:valAx>
        <c:axId val="1673591087"/>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7359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Pivots!$F$34:$F$38</c:f>
              <c:strCache>
                <c:ptCount val="5"/>
                <c:pt idx="0">
                  <c:v>R01</c:v>
                </c:pt>
                <c:pt idx="1">
                  <c:v>R02</c:v>
                </c:pt>
                <c:pt idx="2">
                  <c:v>R03</c:v>
                </c:pt>
                <c:pt idx="3">
                  <c:v>R04</c:v>
                </c:pt>
                <c:pt idx="4">
                  <c:v>R05</c:v>
                </c:pt>
              </c:strCache>
            </c:strRef>
          </c:cat>
          <c:val>
            <c:numRef>
              <c:f>Pivots!$H$34:$H$38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FEA-4E73-B0FA-7D0F7CDBA17F}"/>
            </c:ext>
          </c:extLst>
        </c:ser>
        <c:dLbls>
          <c:showLegendKey val="0"/>
          <c:showVal val="0"/>
          <c:showCatName val="0"/>
          <c:showSerName val="0"/>
          <c:showPercent val="0"/>
          <c:showBubbleSize val="0"/>
        </c:dLbls>
        <c:gapWidth val="25"/>
        <c:axId val="1673593967"/>
        <c:axId val="1673591087"/>
      </c:barChart>
      <c:catAx>
        <c:axId val="16735939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91087"/>
        <c:crosses val="autoZero"/>
        <c:auto val="1"/>
        <c:lblAlgn val="ctr"/>
        <c:lblOffset val="100"/>
        <c:noMultiLvlLbl val="0"/>
      </c:catAx>
      <c:valAx>
        <c:axId val="1673591087"/>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67359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Excel Dashboard.xlsx]Pivots!Monthly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91500">
                <a:srgbClr val="FF6600"/>
              </a:gs>
              <a:gs pos="100000">
                <a:schemeClr val="accent1">
                  <a:lumMod val="45000"/>
                  <a:lumOff val="55000"/>
                </a:schemeClr>
              </a:gs>
              <a:gs pos="100000">
                <a:srgbClr val="FF6600"/>
              </a:gs>
              <a:gs pos="100000">
                <a:schemeClr val="accent1">
                  <a:lumMod val="30000"/>
                  <a:lumOff val="70000"/>
                </a:schemeClr>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Pivots!$C$17</c:f>
              <c:strCache>
                <c:ptCount val="1"/>
                <c:pt idx="0">
                  <c:v>Call Count2</c:v>
                </c:pt>
              </c:strCache>
            </c:strRef>
          </c:tx>
          <c:spPr>
            <a:gradFill>
              <a:gsLst>
                <a:gs pos="0">
                  <a:srgbClr val="FF0000"/>
                </a:gs>
                <a:gs pos="91500">
                  <a:srgbClr val="FF6600"/>
                </a:gs>
                <a:gs pos="100000">
                  <a:schemeClr val="accent1">
                    <a:lumMod val="45000"/>
                    <a:lumOff val="55000"/>
                  </a:schemeClr>
                </a:gs>
                <a:gs pos="100000">
                  <a:srgbClr val="FF6600"/>
                </a:gs>
                <a:gs pos="100000">
                  <a:schemeClr val="accent1">
                    <a:lumMod val="30000"/>
                    <a:lumOff val="70000"/>
                  </a:schemeClr>
                </a:gs>
              </a:gsLst>
              <a:lin ang="5400000" scaled="1"/>
            </a:gradFill>
            <a:ln>
              <a:solidFill>
                <a:srgbClr val="FF0000"/>
              </a:solidFill>
            </a:ln>
            <a:effectLst/>
          </c:spP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Pivots!$C$18:$C$30</c:f>
              <c:numCache>
                <c:formatCode>#,##0</c:formatCode>
                <c:ptCount val="12"/>
                <c:pt idx="0">
                  <c:v>23</c:v>
                </c:pt>
                <c:pt idx="1">
                  <c:v>24</c:v>
                </c:pt>
                <c:pt idx="2">
                  <c:v>58</c:v>
                </c:pt>
                <c:pt idx="3">
                  <c:v>47</c:v>
                </c:pt>
                <c:pt idx="4">
                  <c:v>45</c:v>
                </c:pt>
                <c:pt idx="5">
                  <c:v>28</c:v>
                </c:pt>
                <c:pt idx="6">
                  <c:v>28</c:v>
                </c:pt>
                <c:pt idx="7">
                  <c:v>23</c:v>
                </c:pt>
                <c:pt idx="8">
                  <c:v>27</c:v>
                </c:pt>
                <c:pt idx="9">
                  <c:v>45</c:v>
                </c:pt>
                <c:pt idx="10">
                  <c:v>22</c:v>
                </c:pt>
                <c:pt idx="11">
                  <c:v>23</c:v>
                </c:pt>
              </c:numCache>
            </c:numRef>
          </c:val>
          <c:extLst>
            <c:ext xmlns:c16="http://schemas.microsoft.com/office/drawing/2014/chart" uri="{C3380CC4-5D6E-409C-BE32-E72D297353CC}">
              <c16:uniqueId val="{00000000-9C97-41F3-BFBB-65F2178E479F}"/>
            </c:ext>
          </c:extLst>
        </c:ser>
        <c:dLbls>
          <c:showLegendKey val="0"/>
          <c:showVal val="0"/>
          <c:showCatName val="0"/>
          <c:showSerName val="0"/>
          <c:showPercent val="0"/>
          <c:showBubbleSize val="0"/>
        </c:dLbls>
        <c:axId val="1675489631"/>
        <c:axId val="1675492991"/>
      </c:areaChart>
      <c:lineChart>
        <c:grouping val="standard"/>
        <c:varyColors val="0"/>
        <c:ser>
          <c:idx val="0"/>
          <c:order val="0"/>
          <c:tx>
            <c:strRef>
              <c:f>Pivots!$B$17</c:f>
              <c:strCache>
                <c:ptCount val="1"/>
                <c:pt idx="0">
                  <c:v>Call Count</c:v>
                </c:pt>
              </c:strCache>
            </c:strRef>
          </c:tx>
          <c:spPr>
            <a:ln w="28575" cap="rnd">
              <a:solidFill>
                <a:srgbClr val="C00000"/>
              </a:solidFill>
              <a:round/>
            </a:ln>
            <a:effectLst/>
          </c:spPr>
          <c:marker>
            <c:symbol val="circle"/>
            <c:size val="5"/>
            <c:spPr>
              <a:solidFill>
                <a:schemeClr val="accent1"/>
              </a:solidFill>
              <a:ln w="9525">
                <a:solidFill>
                  <a:srgbClr val="C00000"/>
                </a:solidFill>
              </a:ln>
              <a:effectLst/>
            </c:spPr>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#,##0</c:formatCode>
                <c:ptCount val="12"/>
                <c:pt idx="0">
                  <c:v>23</c:v>
                </c:pt>
                <c:pt idx="1">
                  <c:v>24</c:v>
                </c:pt>
                <c:pt idx="2">
                  <c:v>58</c:v>
                </c:pt>
                <c:pt idx="3">
                  <c:v>47</c:v>
                </c:pt>
                <c:pt idx="4">
                  <c:v>45</c:v>
                </c:pt>
                <c:pt idx="5">
                  <c:v>28</c:v>
                </c:pt>
                <c:pt idx="6">
                  <c:v>28</c:v>
                </c:pt>
                <c:pt idx="7">
                  <c:v>23</c:v>
                </c:pt>
                <c:pt idx="8">
                  <c:v>27</c:v>
                </c:pt>
                <c:pt idx="9">
                  <c:v>45</c:v>
                </c:pt>
                <c:pt idx="10">
                  <c:v>22</c:v>
                </c:pt>
                <c:pt idx="11">
                  <c:v>23</c:v>
                </c:pt>
              </c:numCache>
            </c:numRef>
          </c:val>
          <c:smooth val="0"/>
          <c:extLst>
            <c:ext xmlns:c16="http://schemas.microsoft.com/office/drawing/2014/chart" uri="{C3380CC4-5D6E-409C-BE32-E72D297353CC}">
              <c16:uniqueId val="{00000001-9C97-41F3-BFBB-65F2178E479F}"/>
            </c:ext>
          </c:extLst>
        </c:ser>
        <c:dLbls>
          <c:showLegendKey val="0"/>
          <c:showVal val="0"/>
          <c:showCatName val="0"/>
          <c:showSerName val="0"/>
          <c:showPercent val="0"/>
          <c:showBubbleSize val="0"/>
        </c:dLbls>
        <c:marker val="1"/>
        <c:smooth val="0"/>
        <c:axId val="1916518591"/>
        <c:axId val="1916516191"/>
      </c:lineChart>
      <c:catAx>
        <c:axId val="19165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16191"/>
        <c:crosses val="autoZero"/>
        <c:auto val="1"/>
        <c:lblAlgn val="ctr"/>
        <c:lblOffset val="100"/>
        <c:noMultiLvlLbl val="0"/>
      </c:catAx>
      <c:valAx>
        <c:axId val="191651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18591"/>
        <c:crosses val="autoZero"/>
        <c:crossBetween val="between"/>
      </c:valAx>
      <c:valAx>
        <c:axId val="16754929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89631"/>
        <c:crosses val="max"/>
        <c:crossBetween val="between"/>
      </c:valAx>
      <c:catAx>
        <c:axId val="1675489631"/>
        <c:scaling>
          <c:orientation val="minMax"/>
        </c:scaling>
        <c:delete val="1"/>
        <c:axPos val="b"/>
        <c:numFmt formatCode="General" sourceLinked="1"/>
        <c:majorTickMark val="out"/>
        <c:minorTickMark val="none"/>
        <c:tickLblPos val="nextTo"/>
        <c:crossAx val="16754929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Excel Dashboard.xlsx]Pivots!Weekday Trend</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Pivots!$G$17</c:f>
              <c:strCache>
                <c:ptCount val="1"/>
                <c:pt idx="0">
                  <c:v>Total</c:v>
                </c:pt>
              </c:strCache>
            </c:strRef>
          </c:tx>
          <c:spPr>
            <a:solidFill>
              <a:srgbClr val="FF6600"/>
            </a:solidFill>
            <a:ln>
              <a:noFill/>
            </a:ln>
            <a:effectLst/>
          </c:spPr>
          <c:invertIfNegative val="0"/>
          <c:cat>
            <c:strRef>
              <c:f>Pivots!$F$18:$F$25</c:f>
              <c:strCache>
                <c:ptCount val="7"/>
                <c:pt idx="0">
                  <c:v>Saturday</c:v>
                </c:pt>
                <c:pt idx="1">
                  <c:v>Friday</c:v>
                </c:pt>
                <c:pt idx="2">
                  <c:v>Thursday</c:v>
                </c:pt>
                <c:pt idx="3">
                  <c:v>Wednesday</c:v>
                </c:pt>
                <c:pt idx="4">
                  <c:v>Tuesday</c:v>
                </c:pt>
                <c:pt idx="5">
                  <c:v>Monday</c:v>
                </c:pt>
                <c:pt idx="6">
                  <c:v>Sunday</c:v>
                </c:pt>
              </c:strCache>
            </c:strRef>
          </c:cat>
          <c:val>
            <c:numRef>
              <c:f>Pivots!$G$18:$G$25</c:f>
              <c:numCache>
                <c:formatCode>#,##0</c:formatCode>
                <c:ptCount val="7"/>
                <c:pt idx="0">
                  <c:v>59</c:v>
                </c:pt>
                <c:pt idx="1">
                  <c:v>56</c:v>
                </c:pt>
                <c:pt idx="2">
                  <c:v>45</c:v>
                </c:pt>
                <c:pt idx="3">
                  <c:v>67</c:v>
                </c:pt>
                <c:pt idx="4">
                  <c:v>54</c:v>
                </c:pt>
                <c:pt idx="5">
                  <c:v>57</c:v>
                </c:pt>
                <c:pt idx="6">
                  <c:v>55</c:v>
                </c:pt>
              </c:numCache>
            </c:numRef>
          </c:val>
          <c:extLst>
            <c:ext xmlns:c16="http://schemas.microsoft.com/office/drawing/2014/chart" uri="{C3380CC4-5D6E-409C-BE32-E72D297353CC}">
              <c16:uniqueId val="{00000000-4F20-4075-A9F8-1E8B8966DDDA}"/>
            </c:ext>
          </c:extLst>
        </c:ser>
        <c:dLbls>
          <c:showLegendKey val="0"/>
          <c:showVal val="0"/>
          <c:showCatName val="0"/>
          <c:showSerName val="0"/>
          <c:showPercent val="0"/>
          <c:showBubbleSize val="0"/>
        </c:dLbls>
        <c:gapWidth val="182"/>
        <c:axId val="2008653151"/>
        <c:axId val="2008651231"/>
      </c:barChart>
      <c:catAx>
        <c:axId val="2008653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51231"/>
        <c:crosses val="autoZero"/>
        <c:auto val="1"/>
        <c:lblAlgn val="ctr"/>
        <c:lblOffset val="100"/>
        <c:noMultiLvlLbl val="0"/>
      </c:catAx>
      <c:valAx>
        <c:axId val="2008651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Excel Dashboard.xlsx]Pivots!PivotTable2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6600"/>
                </a:solidFill>
              </a:rPr>
              <a:t>Female</a:t>
            </a:r>
            <a:r>
              <a:rPr lang="en-IN"/>
              <a:t> vs</a:t>
            </a:r>
            <a:r>
              <a:rPr lang="en-IN">
                <a:solidFill>
                  <a:schemeClr val="accent5">
                    <a:lumMod val="60000"/>
                    <a:lumOff val="40000"/>
                  </a:schemeClr>
                </a:solidFill>
              </a:rPr>
              <a:t> Male </a:t>
            </a:r>
            <a:r>
              <a:rPr lang="en-IN"/>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Pivots!$B$46:$B$47</c:f>
              <c:strCache>
                <c:ptCount val="1"/>
                <c:pt idx="0">
                  <c:v>Female</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Pivots!$A$48:$A$51</c:f>
              <c:strCache>
                <c:ptCount val="3"/>
                <c:pt idx="0">
                  <c:v>Cincinnati</c:v>
                </c:pt>
                <c:pt idx="1">
                  <c:v>Cleveland</c:v>
                </c:pt>
                <c:pt idx="2">
                  <c:v>Columbus</c:v>
                </c:pt>
              </c:strCache>
            </c:strRef>
          </c:cat>
          <c:val>
            <c:numRef>
              <c:f>Pivots!$B$48:$B$51</c:f>
              <c:numCache>
                <c:formatCode>#,##0</c:formatCode>
                <c:ptCount val="3"/>
                <c:pt idx="0">
                  <c:v>144</c:v>
                </c:pt>
                <c:pt idx="1">
                  <c:v>326</c:v>
                </c:pt>
                <c:pt idx="2">
                  <c:v>129</c:v>
                </c:pt>
              </c:numCache>
            </c:numRef>
          </c:val>
          <c:extLst>
            <c:ext xmlns:c16="http://schemas.microsoft.com/office/drawing/2014/chart" uri="{C3380CC4-5D6E-409C-BE32-E72D297353CC}">
              <c16:uniqueId val="{00000000-FFD7-473D-9A39-DF56ED698052}"/>
            </c:ext>
          </c:extLst>
        </c:ser>
        <c:ser>
          <c:idx val="1"/>
          <c:order val="1"/>
          <c:tx>
            <c:strRef>
              <c:f>Pivots!$C$46:$C$47</c:f>
              <c:strCache>
                <c:ptCount val="1"/>
                <c:pt idx="0">
                  <c:v>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Pivots!$A$48:$A$51</c:f>
              <c:strCache>
                <c:ptCount val="3"/>
                <c:pt idx="0">
                  <c:v>Cincinnati</c:v>
                </c:pt>
                <c:pt idx="1">
                  <c:v>Cleveland</c:v>
                </c:pt>
                <c:pt idx="2">
                  <c:v>Columbus</c:v>
                </c:pt>
              </c:strCache>
            </c:strRef>
          </c:cat>
          <c:val>
            <c:numRef>
              <c:f>Pivots!$C$48:$C$51</c:f>
              <c:numCache>
                <c:formatCode>#,##0</c:formatCode>
                <c:ptCount val="3"/>
                <c:pt idx="0">
                  <c:v>132</c:v>
                </c:pt>
                <c:pt idx="1">
                  <c:v>63</c:v>
                </c:pt>
                <c:pt idx="2">
                  <c:v>206</c:v>
                </c:pt>
              </c:numCache>
            </c:numRef>
          </c:val>
          <c:extLst>
            <c:ext xmlns:c16="http://schemas.microsoft.com/office/drawing/2014/chart" uri="{C3380CC4-5D6E-409C-BE32-E72D297353CC}">
              <c16:uniqueId val="{00000001-FFD7-473D-9A39-DF56ED698052}"/>
            </c:ext>
          </c:extLst>
        </c:ser>
        <c:dLbls>
          <c:dLblPos val="ctr"/>
          <c:showLegendKey val="0"/>
          <c:showVal val="1"/>
          <c:showCatName val="0"/>
          <c:showSerName val="0"/>
          <c:showPercent val="0"/>
          <c:showBubbleSize val="0"/>
        </c:dLbls>
        <c:gapWidth val="150"/>
        <c:overlap val="100"/>
        <c:axId val="206033039"/>
        <c:axId val="1163248655"/>
      </c:barChart>
      <c:catAx>
        <c:axId val="206033039"/>
        <c:scaling>
          <c:orientation val="minMax"/>
        </c:scaling>
        <c:delete val="1"/>
        <c:axPos val="b"/>
        <c:numFmt formatCode="General" sourceLinked="1"/>
        <c:majorTickMark val="none"/>
        <c:minorTickMark val="none"/>
        <c:tickLblPos val="nextTo"/>
        <c:crossAx val="1163248655"/>
        <c:crosses val="autoZero"/>
        <c:auto val="1"/>
        <c:lblAlgn val="ctr"/>
        <c:lblOffset val="100"/>
        <c:noMultiLvlLbl val="0"/>
      </c:catAx>
      <c:valAx>
        <c:axId val="1163248655"/>
        <c:scaling>
          <c:orientation val="minMax"/>
        </c:scaling>
        <c:delete val="1"/>
        <c:axPos val="l"/>
        <c:numFmt formatCode="#,##0" sourceLinked="1"/>
        <c:majorTickMark val="none"/>
        <c:minorTickMark val="none"/>
        <c:tickLblPos val="nextTo"/>
        <c:crossAx val="2060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Pivots!$F$34:$F$38</c:f>
              <c:strCache>
                <c:ptCount val="5"/>
                <c:pt idx="0">
                  <c:v>R01</c:v>
                </c:pt>
                <c:pt idx="1">
                  <c:v>R02</c:v>
                </c:pt>
                <c:pt idx="2">
                  <c:v>R03</c:v>
                </c:pt>
                <c:pt idx="3">
                  <c:v>R04</c:v>
                </c:pt>
                <c:pt idx="4">
                  <c:v>R05</c:v>
                </c:pt>
              </c:strCache>
            </c:strRef>
          </c:cat>
          <c:val>
            <c:numRef>
              <c:f>Pivots!$G$34:$G$38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51A-4C48-8EFF-CEFF740D2BEA}"/>
            </c:ext>
          </c:extLst>
        </c:ser>
        <c:ser>
          <c:idx val="1"/>
          <c:order val="1"/>
          <c:tx>
            <c:strRef>
              <c:f>Pivots!$I$33</c:f>
              <c:strCache>
                <c:ptCount val="1"/>
                <c:pt idx="0">
                  <c:v>Sel. Calls</c:v>
                </c:pt>
              </c:strCache>
            </c:strRef>
          </c:tx>
          <c:spPr>
            <a:solidFill>
              <a:srgbClr val="FF6600"/>
            </a:solidFill>
            <a:ln>
              <a:noFill/>
            </a:ln>
            <a:effectLst/>
          </c:spPr>
          <c:invertIfNegative val="0"/>
          <c:val>
            <c:numRef>
              <c:f>Pivots!$I$34:$I$38</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651A-4C48-8EFF-CEFF740D2BEA}"/>
            </c:ext>
          </c:extLst>
        </c:ser>
        <c:dLbls>
          <c:showLegendKey val="0"/>
          <c:showVal val="0"/>
          <c:showCatName val="0"/>
          <c:showSerName val="0"/>
          <c:showPercent val="0"/>
          <c:showBubbleSize val="0"/>
        </c:dLbls>
        <c:gapWidth val="25"/>
        <c:overlap val="100"/>
        <c:axId val="1163293295"/>
        <c:axId val="1163290895"/>
      </c:barChart>
      <c:catAx>
        <c:axId val="11632932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90895"/>
        <c:crosses val="autoZero"/>
        <c:auto val="1"/>
        <c:lblAlgn val="ctr"/>
        <c:lblOffset val="100"/>
        <c:noMultiLvlLbl val="0"/>
      </c:catAx>
      <c:valAx>
        <c:axId val="1163290895"/>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63293295"/>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Pivots!$F$34:$F$38</c:f>
              <c:strCache>
                <c:ptCount val="5"/>
                <c:pt idx="0">
                  <c:v>R01</c:v>
                </c:pt>
                <c:pt idx="1">
                  <c:v>R02</c:v>
                </c:pt>
                <c:pt idx="2">
                  <c:v>R03</c:v>
                </c:pt>
                <c:pt idx="3">
                  <c:v>R04</c:v>
                </c:pt>
                <c:pt idx="4">
                  <c:v>R05</c:v>
                </c:pt>
              </c:strCache>
            </c:strRef>
          </c:cat>
          <c:val>
            <c:numRef>
              <c:f>Pivots!$H$34:$H$38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3D1-4B56-B024-92B5F049AB9C}"/>
            </c:ext>
          </c:extLst>
        </c:ser>
        <c:ser>
          <c:idx val="1"/>
          <c:order val="1"/>
          <c:tx>
            <c:strRef>
              <c:f>Pivots!$J$33</c:f>
              <c:strCache>
                <c:ptCount val="1"/>
                <c:pt idx="0">
                  <c:v>Sel. Amount</c:v>
                </c:pt>
              </c:strCache>
            </c:strRef>
          </c:tx>
          <c:spPr>
            <a:solidFill>
              <a:srgbClr val="FF6600"/>
            </a:solidFill>
            <a:ln>
              <a:noFill/>
            </a:ln>
            <a:effectLst/>
          </c:spPr>
          <c:invertIfNegative val="0"/>
          <c:val>
            <c:numRef>
              <c:f>Pivots!$J$34:$J$38</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63D1-4B56-B024-92B5F049AB9C}"/>
            </c:ext>
          </c:extLst>
        </c:ser>
        <c:dLbls>
          <c:showLegendKey val="0"/>
          <c:showVal val="0"/>
          <c:showCatName val="0"/>
          <c:showSerName val="0"/>
          <c:showPercent val="0"/>
          <c:showBubbleSize val="0"/>
        </c:dLbls>
        <c:gapWidth val="25"/>
        <c:overlap val="100"/>
        <c:axId val="1163293295"/>
        <c:axId val="1163290895"/>
      </c:barChart>
      <c:catAx>
        <c:axId val="1163293295"/>
        <c:scaling>
          <c:orientation val="maxMin"/>
        </c:scaling>
        <c:delete val="1"/>
        <c:axPos val="l"/>
        <c:numFmt formatCode="General" sourceLinked="1"/>
        <c:majorTickMark val="none"/>
        <c:minorTickMark val="none"/>
        <c:tickLblPos val="nextTo"/>
        <c:crossAx val="1163290895"/>
        <c:crosses val="autoZero"/>
        <c:auto val="1"/>
        <c:lblAlgn val="ctr"/>
        <c:lblOffset val="100"/>
        <c:noMultiLvlLbl val="0"/>
      </c:catAx>
      <c:valAx>
        <c:axId val="1163290895"/>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16329329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Excel Dashboard.xlsx]Pivots!Rep. Satisfaction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Rating</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Pivots!$B$53</c:f>
              <c:strCache>
                <c:ptCount val="1"/>
                <c:pt idx="0">
                  <c:v>Total</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Pivots!$A$54:$A$60</c:f>
              <c:strCache>
                <c:ptCount val="6"/>
                <c:pt idx="0">
                  <c:v>0</c:v>
                </c:pt>
                <c:pt idx="1">
                  <c:v>1</c:v>
                </c:pt>
                <c:pt idx="2">
                  <c:v>2</c:v>
                </c:pt>
                <c:pt idx="3">
                  <c:v>3</c:v>
                </c:pt>
                <c:pt idx="4">
                  <c:v>4</c:v>
                </c:pt>
                <c:pt idx="5">
                  <c:v>5</c:v>
                </c:pt>
              </c:strCache>
            </c:strRef>
          </c:cat>
          <c:val>
            <c:numRef>
              <c:f>Pivots!$B$54:$B$60</c:f>
              <c:numCache>
                <c:formatCode>#,##0</c:formatCode>
                <c:ptCount val="6"/>
                <c:pt idx="0">
                  <c:v>1</c:v>
                </c:pt>
                <c:pt idx="1">
                  <c:v>4</c:v>
                </c:pt>
                <c:pt idx="2">
                  <c:v>21</c:v>
                </c:pt>
                <c:pt idx="3">
                  <c:v>87</c:v>
                </c:pt>
                <c:pt idx="4">
                  <c:v>158</c:v>
                </c:pt>
                <c:pt idx="5">
                  <c:v>122</c:v>
                </c:pt>
              </c:numCache>
            </c:numRef>
          </c:val>
          <c:extLst>
            <c:ext xmlns:c16="http://schemas.microsoft.com/office/drawing/2014/chart" uri="{C3380CC4-5D6E-409C-BE32-E72D297353CC}">
              <c16:uniqueId val="{00000000-612B-41A8-814B-2DE2A41B3B46}"/>
            </c:ext>
          </c:extLst>
        </c:ser>
        <c:dLbls>
          <c:dLblPos val="outEnd"/>
          <c:showLegendKey val="0"/>
          <c:showVal val="1"/>
          <c:showCatName val="0"/>
          <c:showSerName val="0"/>
          <c:showPercent val="0"/>
          <c:showBubbleSize val="0"/>
        </c:dLbls>
        <c:gapWidth val="10"/>
        <c:overlap val="-27"/>
        <c:axId val="1309254559"/>
        <c:axId val="1309247839"/>
      </c:barChart>
      <c:catAx>
        <c:axId val="13092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47839"/>
        <c:crosses val="autoZero"/>
        <c:auto val="1"/>
        <c:lblAlgn val="ctr"/>
        <c:lblOffset val="100"/>
        <c:noMultiLvlLbl val="0"/>
      </c:catAx>
      <c:valAx>
        <c:axId val="130924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25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5.png"/><Relationship Id="rId7" Type="http://schemas.openxmlformats.org/officeDocument/2006/relationships/image" Target="../media/image13.png"/><Relationship Id="rId12" Type="http://schemas.openxmlformats.org/officeDocument/2006/relationships/image" Target="../media/image8.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12.svg"/><Relationship Id="rId11" Type="http://schemas.openxmlformats.org/officeDocument/2006/relationships/image" Target="../media/image7.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image" Target="../media/image6.sv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7</xdr:col>
      <xdr:colOff>819150</xdr:colOff>
      <xdr:row>20</xdr:row>
      <xdr:rowOff>14054</xdr:rowOff>
    </xdr:from>
    <xdr:to>
      <xdr:col>10</xdr:col>
      <xdr:colOff>830580</xdr:colOff>
      <xdr:row>30</xdr:row>
      <xdr:rowOff>35476</xdr:rowOff>
    </xdr:to>
    <xdr:graphicFrame macro="">
      <xdr:nvGraphicFramePr>
        <xdr:cNvPr id="8" name="Chart 7">
          <a:extLst>
            <a:ext uri="{FF2B5EF4-FFF2-40B4-BE49-F238E27FC236}">
              <a16:creationId xmlns:a16="http://schemas.microsoft.com/office/drawing/2014/main" id="{9A8D4BF2-A129-5E85-689F-2FE2444D3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678180</xdr:colOff>
      <xdr:row>20</xdr:row>
      <xdr:rowOff>17864</xdr:rowOff>
    </xdr:from>
    <xdr:to>
      <xdr:col>14</xdr:col>
      <xdr:colOff>68580</xdr:colOff>
      <xdr:row>30</xdr:row>
      <xdr:rowOff>39286</xdr:rowOff>
    </xdr:to>
    <xdr:graphicFrame macro="">
      <xdr:nvGraphicFramePr>
        <xdr:cNvPr id="9" name="Chart 8">
          <a:extLst>
            <a:ext uri="{FF2B5EF4-FFF2-40B4-BE49-F238E27FC236}">
              <a16:creationId xmlns:a16="http://schemas.microsoft.com/office/drawing/2014/main" id="{F9936202-AD26-4D3F-A7A8-C46B6910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60960</xdr:rowOff>
    </xdr:from>
    <xdr:to>
      <xdr:col>4</xdr:col>
      <xdr:colOff>601980</xdr:colOff>
      <xdr:row>7</xdr:row>
      <xdr:rowOff>0</xdr:rowOff>
    </xdr:to>
    <xdr:sp macro="" textlink="Pivots!A4">
      <xdr:nvSpPr>
        <xdr:cNvPr id="8" name="Rectangle: Rounded Corners 7">
          <a:extLst>
            <a:ext uri="{FF2B5EF4-FFF2-40B4-BE49-F238E27FC236}">
              <a16:creationId xmlns:a16="http://schemas.microsoft.com/office/drawing/2014/main" id="{06650DCD-BA26-B7E7-57D8-717313737147}"/>
            </a:ext>
          </a:extLst>
        </xdr:cNvPr>
        <xdr:cNvSpPr/>
      </xdr:nvSpPr>
      <xdr:spPr>
        <a:xfrm>
          <a:off x="470560" y="239090"/>
          <a:ext cx="1833550" cy="1007819"/>
        </a:xfrm>
        <a:prstGeom prst="round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4DBB61-490E-4C9A-8B8E-54AE0C80FC6C}" type="TxLink">
            <a:rPr lang="en-US" sz="1600" b="0" i="0" u="none" strike="noStrike">
              <a:solidFill>
                <a:schemeClr val="bg1"/>
              </a:solidFill>
              <a:latin typeface="+mj-lt"/>
            </a:rPr>
            <a:pPr algn="ctr"/>
            <a:t>1000</a:t>
          </a:fld>
          <a:endParaRPr lang="en-IN" sz="1600">
            <a:solidFill>
              <a:schemeClr val="bg1"/>
            </a:solidFill>
            <a:latin typeface="+mj-lt"/>
          </a:endParaRPr>
        </a:p>
      </xdr:txBody>
    </xdr:sp>
    <xdr:clientData/>
  </xdr:twoCellAnchor>
  <xdr:twoCellAnchor>
    <xdr:from>
      <xdr:col>2</xdr:col>
      <xdr:colOff>586740</xdr:colOff>
      <xdr:row>1</xdr:row>
      <xdr:rowOff>129540</xdr:rowOff>
    </xdr:from>
    <xdr:to>
      <xdr:col>4</xdr:col>
      <xdr:colOff>160020</xdr:colOff>
      <xdr:row>3</xdr:row>
      <xdr:rowOff>38100</xdr:rowOff>
    </xdr:to>
    <xdr:sp macro="" textlink="">
      <xdr:nvSpPr>
        <xdr:cNvPr id="9" name="TextBox 8">
          <a:extLst>
            <a:ext uri="{FF2B5EF4-FFF2-40B4-BE49-F238E27FC236}">
              <a16:creationId xmlns:a16="http://schemas.microsoft.com/office/drawing/2014/main" id="{9AC76999-EF60-A64C-1D86-838BC2147CC8}"/>
            </a:ext>
          </a:extLst>
        </xdr:cNvPr>
        <xdr:cNvSpPr txBox="1"/>
      </xdr:nvSpPr>
      <xdr:spPr>
        <a:xfrm>
          <a:off x="944880" y="312420"/>
          <a:ext cx="914400" cy="27432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Calls</a:t>
          </a:r>
        </a:p>
      </xdr:txBody>
    </xdr:sp>
    <xdr:clientData/>
  </xdr:twoCellAnchor>
  <xdr:twoCellAnchor editAs="oneCell">
    <xdr:from>
      <xdr:col>2</xdr:col>
      <xdr:colOff>242254</xdr:colOff>
      <xdr:row>2</xdr:row>
      <xdr:rowOff>18560</xdr:rowOff>
    </xdr:from>
    <xdr:to>
      <xdr:col>2</xdr:col>
      <xdr:colOff>508822</xdr:colOff>
      <xdr:row>3</xdr:row>
      <xdr:rowOff>98527</xdr:rowOff>
    </xdr:to>
    <xdr:pic>
      <xdr:nvPicPr>
        <xdr:cNvPr id="10" name="Graphic 9" descr="Receiver with solid fill">
          <a:extLst>
            <a:ext uri="{FF2B5EF4-FFF2-40B4-BE49-F238E27FC236}">
              <a16:creationId xmlns:a16="http://schemas.microsoft.com/office/drawing/2014/main" id="{30A8DFB1-A14E-45E4-8687-3C6D78E491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20823">
          <a:off x="598514" y="374820"/>
          <a:ext cx="266568" cy="258096"/>
        </a:xfrm>
        <a:prstGeom prst="rect">
          <a:avLst/>
        </a:prstGeom>
      </xdr:spPr>
    </xdr:pic>
    <xdr:clientData/>
  </xdr:twoCellAnchor>
  <xdr:twoCellAnchor>
    <xdr:from>
      <xdr:col>2</xdr:col>
      <xdr:colOff>342900</xdr:colOff>
      <xdr:row>5</xdr:row>
      <xdr:rowOff>7620</xdr:rowOff>
    </xdr:from>
    <xdr:to>
      <xdr:col>4</xdr:col>
      <xdr:colOff>304800</xdr:colOff>
      <xdr:row>6</xdr:row>
      <xdr:rowOff>91440</xdr:rowOff>
    </xdr:to>
    <xdr:sp macro="" textlink="Pivots!A8">
      <xdr:nvSpPr>
        <xdr:cNvPr id="13" name="TextBox 12">
          <a:extLst>
            <a:ext uri="{FF2B5EF4-FFF2-40B4-BE49-F238E27FC236}">
              <a16:creationId xmlns:a16="http://schemas.microsoft.com/office/drawing/2014/main" id="{7B0FF844-19CC-4195-9AB4-3D47569C49D9}"/>
            </a:ext>
          </a:extLst>
        </xdr:cNvPr>
        <xdr:cNvSpPr txBox="1"/>
      </xdr:nvSpPr>
      <xdr:spPr>
        <a:xfrm>
          <a:off x="701040" y="922020"/>
          <a:ext cx="1303020" cy="26670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ECEE94-2E50-443E-AEFF-3885FCB90F63}" type="TxLink">
            <a:rPr lang="en-US" sz="1200" b="1" i="0" u="none" strike="noStrike">
              <a:solidFill>
                <a:schemeClr val="bg1"/>
              </a:solidFill>
              <a:latin typeface="Aptos"/>
            </a:rPr>
            <a:pPr algn="ctr"/>
            <a:t>393</a:t>
          </a:fld>
          <a:endParaRPr lang="en-IN" sz="1200" b="1">
            <a:solidFill>
              <a:schemeClr val="bg1"/>
            </a:solidFill>
          </a:endParaRPr>
        </a:p>
      </xdr:txBody>
    </xdr:sp>
    <xdr:clientData/>
  </xdr:twoCellAnchor>
  <xdr:twoCellAnchor>
    <xdr:from>
      <xdr:col>2</xdr:col>
      <xdr:colOff>99060</xdr:colOff>
      <xdr:row>8</xdr:row>
      <xdr:rowOff>83820</xdr:rowOff>
    </xdr:from>
    <xdr:to>
      <xdr:col>4</xdr:col>
      <xdr:colOff>586740</xdr:colOff>
      <xdr:row>14</xdr:row>
      <xdr:rowOff>22860</xdr:rowOff>
    </xdr:to>
    <xdr:sp macro="" textlink="Pivots!B4">
      <xdr:nvSpPr>
        <xdr:cNvPr id="14" name="Rectangle: Rounded Corners 13">
          <a:extLst>
            <a:ext uri="{FF2B5EF4-FFF2-40B4-BE49-F238E27FC236}">
              <a16:creationId xmlns:a16="http://schemas.microsoft.com/office/drawing/2014/main" id="{BAFCF2AF-2613-4C23-9661-58D35A2BA52B}"/>
            </a:ext>
          </a:extLst>
        </xdr:cNvPr>
        <xdr:cNvSpPr/>
      </xdr:nvSpPr>
      <xdr:spPr>
        <a:xfrm>
          <a:off x="455320" y="1508859"/>
          <a:ext cx="1833550" cy="1007819"/>
        </a:xfrm>
        <a:prstGeom prst="round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3060DD-AB79-457F-90E3-77B47EBD0A56}" type="TxLink">
            <a:rPr lang="en-US" sz="1200" b="1" i="0" u="none" strike="noStrike">
              <a:solidFill>
                <a:schemeClr val="bg1"/>
              </a:solidFill>
              <a:latin typeface="Aptos"/>
            </a:rPr>
            <a:pPr algn="ctr"/>
            <a:t>₹ 96,623</a:t>
          </a:fld>
          <a:endParaRPr lang="en-IN" sz="1200" b="1">
            <a:solidFill>
              <a:schemeClr val="bg1"/>
            </a:solidFill>
            <a:latin typeface="+mj-lt"/>
          </a:endParaRPr>
        </a:p>
      </xdr:txBody>
    </xdr:sp>
    <xdr:clientData/>
  </xdr:twoCellAnchor>
  <xdr:twoCellAnchor>
    <xdr:from>
      <xdr:col>2</xdr:col>
      <xdr:colOff>563880</xdr:colOff>
      <xdr:row>9</xdr:row>
      <xdr:rowOff>22860</xdr:rowOff>
    </xdr:from>
    <xdr:to>
      <xdr:col>4</xdr:col>
      <xdr:colOff>137160</xdr:colOff>
      <xdr:row>10</xdr:row>
      <xdr:rowOff>114300</xdr:rowOff>
    </xdr:to>
    <xdr:sp macro="" textlink="">
      <xdr:nvSpPr>
        <xdr:cNvPr id="15" name="TextBox 14">
          <a:extLst>
            <a:ext uri="{FF2B5EF4-FFF2-40B4-BE49-F238E27FC236}">
              <a16:creationId xmlns:a16="http://schemas.microsoft.com/office/drawing/2014/main" id="{46C1598B-18F9-43C8-BCF1-76635D4278D1}"/>
            </a:ext>
          </a:extLst>
        </xdr:cNvPr>
        <xdr:cNvSpPr txBox="1"/>
      </xdr:nvSpPr>
      <xdr:spPr>
        <a:xfrm>
          <a:off x="922020" y="1668780"/>
          <a:ext cx="914400" cy="27432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Amount</a:t>
          </a:r>
        </a:p>
      </xdr:txBody>
    </xdr:sp>
    <xdr:clientData/>
  </xdr:twoCellAnchor>
  <xdr:twoCellAnchor editAs="oneCell">
    <xdr:from>
      <xdr:col>2</xdr:col>
      <xdr:colOff>223630</xdr:colOff>
      <xdr:row>9</xdr:row>
      <xdr:rowOff>94760</xdr:rowOff>
    </xdr:from>
    <xdr:to>
      <xdr:col>2</xdr:col>
      <xdr:colOff>481726</xdr:colOff>
      <xdr:row>10</xdr:row>
      <xdr:rowOff>174726</xdr:rowOff>
    </xdr:to>
    <xdr:pic>
      <xdr:nvPicPr>
        <xdr:cNvPr id="16" name="Graphic 15">
          <a:extLst>
            <a:ext uri="{FF2B5EF4-FFF2-40B4-BE49-F238E27FC236}">
              <a16:creationId xmlns:a16="http://schemas.microsoft.com/office/drawing/2014/main" id="{A2353EEC-CB14-44B6-B3FE-183A7E8F93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21382825">
          <a:off x="579890" y="1697929"/>
          <a:ext cx="258096" cy="258096"/>
        </a:xfrm>
        <a:prstGeom prst="rect">
          <a:avLst/>
        </a:prstGeom>
      </xdr:spPr>
    </xdr:pic>
    <xdr:clientData/>
  </xdr:twoCellAnchor>
  <xdr:twoCellAnchor>
    <xdr:from>
      <xdr:col>2</xdr:col>
      <xdr:colOff>320040</xdr:colOff>
      <xdr:row>12</xdr:row>
      <xdr:rowOff>83820</xdr:rowOff>
    </xdr:from>
    <xdr:to>
      <xdr:col>4</xdr:col>
      <xdr:colOff>281940</xdr:colOff>
      <xdr:row>13</xdr:row>
      <xdr:rowOff>167640</xdr:rowOff>
    </xdr:to>
    <xdr:sp macro="" textlink="Pivots!B8">
      <xdr:nvSpPr>
        <xdr:cNvPr id="17" name="TextBox 16">
          <a:extLst>
            <a:ext uri="{FF2B5EF4-FFF2-40B4-BE49-F238E27FC236}">
              <a16:creationId xmlns:a16="http://schemas.microsoft.com/office/drawing/2014/main" id="{65887AC7-891C-411D-8F41-3953AE7EDFC5}"/>
            </a:ext>
          </a:extLst>
        </xdr:cNvPr>
        <xdr:cNvSpPr txBox="1"/>
      </xdr:nvSpPr>
      <xdr:spPr>
        <a:xfrm>
          <a:off x="678180" y="2278380"/>
          <a:ext cx="1303020" cy="26670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5FA9DD-73D7-4FDE-9840-99174AE111F6}" type="TxLink">
            <a:rPr lang="en-US" sz="1200" b="1" i="0" u="none" strike="noStrike">
              <a:solidFill>
                <a:schemeClr val="bg1"/>
              </a:solidFill>
              <a:latin typeface="Aptos"/>
            </a:rPr>
            <a:pPr algn="ctr"/>
            <a:t>₹ 37,523</a:t>
          </a:fld>
          <a:endParaRPr lang="en-IN" sz="1200" b="1">
            <a:solidFill>
              <a:schemeClr val="bg1"/>
            </a:solidFill>
          </a:endParaRPr>
        </a:p>
      </xdr:txBody>
    </xdr:sp>
    <xdr:clientData/>
  </xdr:twoCellAnchor>
  <xdr:twoCellAnchor>
    <xdr:from>
      <xdr:col>2</xdr:col>
      <xdr:colOff>106680</xdr:colOff>
      <xdr:row>15</xdr:row>
      <xdr:rowOff>152400</xdr:rowOff>
    </xdr:from>
    <xdr:to>
      <xdr:col>4</xdr:col>
      <xdr:colOff>594360</xdr:colOff>
      <xdr:row>21</xdr:row>
      <xdr:rowOff>91440</xdr:rowOff>
    </xdr:to>
    <xdr:sp macro="" textlink="Pivots!C4">
      <xdr:nvSpPr>
        <xdr:cNvPr id="18" name="Rectangle: Rounded Corners 17">
          <a:extLst>
            <a:ext uri="{FF2B5EF4-FFF2-40B4-BE49-F238E27FC236}">
              <a16:creationId xmlns:a16="http://schemas.microsoft.com/office/drawing/2014/main" id="{C764D467-0454-4856-B8E8-CAE3A76354FF}"/>
            </a:ext>
          </a:extLst>
        </xdr:cNvPr>
        <xdr:cNvSpPr/>
      </xdr:nvSpPr>
      <xdr:spPr>
        <a:xfrm>
          <a:off x="462940" y="2824348"/>
          <a:ext cx="1833550" cy="1007819"/>
        </a:xfrm>
        <a:prstGeom prst="round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533660-A546-4858-9655-AEE62D43555F}" type="TxLink">
            <a:rPr lang="en-US" sz="1200" b="1" i="0" u="none" strike="noStrike">
              <a:solidFill>
                <a:schemeClr val="bg1"/>
              </a:solidFill>
              <a:latin typeface="Aptos"/>
            </a:rPr>
            <a:pPr algn="ctr"/>
            <a:t>89,850</a:t>
          </a:fld>
          <a:endParaRPr lang="en-IN" sz="1200" b="1">
            <a:solidFill>
              <a:schemeClr val="bg1"/>
            </a:solidFill>
            <a:latin typeface="+mj-lt"/>
          </a:endParaRPr>
        </a:p>
      </xdr:txBody>
    </xdr:sp>
    <xdr:clientData/>
  </xdr:twoCellAnchor>
  <xdr:twoCellAnchor>
    <xdr:from>
      <xdr:col>2</xdr:col>
      <xdr:colOff>579120</xdr:colOff>
      <xdr:row>16</xdr:row>
      <xdr:rowOff>38100</xdr:rowOff>
    </xdr:from>
    <xdr:to>
      <xdr:col>4</xdr:col>
      <xdr:colOff>152400</xdr:colOff>
      <xdr:row>17</xdr:row>
      <xdr:rowOff>129540</xdr:rowOff>
    </xdr:to>
    <xdr:sp macro="" textlink="">
      <xdr:nvSpPr>
        <xdr:cNvPr id="19" name="TextBox 18">
          <a:extLst>
            <a:ext uri="{FF2B5EF4-FFF2-40B4-BE49-F238E27FC236}">
              <a16:creationId xmlns:a16="http://schemas.microsoft.com/office/drawing/2014/main" id="{69B5A6EA-B1B1-463A-BF93-530B468BB5CF}"/>
            </a:ext>
          </a:extLst>
        </xdr:cNvPr>
        <xdr:cNvSpPr txBox="1"/>
      </xdr:nvSpPr>
      <xdr:spPr>
        <a:xfrm>
          <a:off x="937260" y="2964180"/>
          <a:ext cx="914400" cy="27432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Duration</a:t>
          </a:r>
        </a:p>
      </xdr:txBody>
    </xdr:sp>
    <xdr:clientData/>
  </xdr:twoCellAnchor>
  <xdr:twoCellAnchor editAs="oneCell">
    <xdr:from>
      <xdr:col>2</xdr:col>
      <xdr:colOff>261037</xdr:colOff>
      <xdr:row>16</xdr:row>
      <xdr:rowOff>149584</xdr:rowOff>
    </xdr:from>
    <xdr:to>
      <xdr:col>2</xdr:col>
      <xdr:colOff>514383</xdr:colOff>
      <xdr:row>18</xdr:row>
      <xdr:rowOff>46670</xdr:rowOff>
    </xdr:to>
    <xdr:pic>
      <xdr:nvPicPr>
        <xdr:cNvPr id="20" name="Graphic 19">
          <a:extLst>
            <a:ext uri="{FF2B5EF4-FFF2-40B4-BE49-F238E27FC236}">
              <a16:creationId xmlns:a16="http://schemas.microsoft.com/office/drawing/2014/main" id="{4D83B5E4-4C48-4E03-9955-EC51154AAF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17297" y="2999662"/>
          <a:ext cx="253346" cy="253346"/>
        </a:xfrm>
        <a:prstGeom prst="rect">
          <a:avLst/>
        </a:prstGeom>
      </xdr:spPr>
    </xdr:pic>
    <xdr:clientData/>
  </xdr:twoCellAnchor>
  <xdr:twoCellAnchor>
    <xdr:from>
      <xdr:col>2</xdr:col>
      <xdr:colOff>335280</xdr:colOff>
      <xdr:row>19</xdr:row>
      <xdr:rowOff>99060</xdr:rowOff>
    </xdr:from>
    <xdr:to>
      <xdr:col>4</xdr:col>
      <xdr:colOff>297180</xdr:colOff>
      <xdr:row>21</xdr:row>
      <xdr:rowOff>0</xdr:rowOff>
    </xdr:to>
    <xdr:sp macro="" textlink="Pivots!C8">
      <xdr:nvSpPr>
        <xdr:cNvPr id="21" name="TextBox 20">
          <a:extLst>
            <a:ext uri="{FF2B5EF4-FFF2-40B4-BE49-F238E27FC236}">
              <a16:creationId xmlns:a16="http://schemas.microsoft.com/office/drawing/2014/main" id="{9CCD4FE7-0130-45FB-A4F1-299E1636A6D8}"/>
            </a:ext>
          </a:extLst>
        </xdr:cNvPr>
        <xdr:cNvSpPr txBox="1"/>
      </xdr:nvSpPr>
      <xdr:spPr>
        <a:xfrm>
          <a:off x="691540" y="3483528"/>
          <a:ext cx="1307770" cy="257199"/>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C881CD-B3C3-4629-A79E-0244DD4BA6C6}" type="TxLink">
            <a:rPr lang="en-US" sz="1200" b="1" i="0" u="none" strike="noStrike">
              <a:solidFill>
                <a:schemeClr val="bg1"/>
              </a:solidFill>
              <a:latin typeface="Aptos"/>
            </a:rPr>
            <a:pPr algn="ctr"/>
            <a:t>35,507</a:t>
          </a:fld>
          <a:endParaRPr lang="en-IN" sz="1200" b="1">
            <a:solidFill>
              <a:schemeClr val="bg1"/>
            </a:solidFill>
          </a:endParaRPr>
        </a:p>
      </xdr:txBody>
    </xdr:sp>
    <xdr:clientData/>
  </xdr:twoCellAnchor>
  <xdr:twoCellAnchor>
    <xdr:from>
      <xdr:col>2</xdr:col>
      <xdr:colOff>121920</xdr:colOff>
      <xdr:row>22</xdr:row>
      <xdr:rowOff>129540</xdr:rowOff>
    </xdr:from>
    <xdr:to>
      <xdr:col>4</xdr:col>
      <xdr:colOff>609600</xdr:colOff>
      <xdr:row>28</xdr:row>
      <xdr:rowOff>68580</xdr:rowOff>
    </xdr:to>
    <xdr:sp macro="" textlink="Pivots!D4">
      <xdr:nvSpPr>
        <xdr:cNvPr id="22" name="Rectangle: Rounded Corners 21">
          <a:extLst>
            <a:ext uri="{FF2B5EF4-FFF2-40B4-BE49-F238E27FC236}">
              <a16:creationId xmlns:a16="http://schemas.microsoft.com/office/drawing/2014/main" id="{A17DA574-583A-4A6A-AF2C-84190E468801}"/>
            </a:ext>
          </a:extLst>
        </xdr:cNvPr>
        <xdr:cNvSpPr/>
      </xdr:nvSpPr>
      <xdr:spPr>
        <a:xfrm>
          <a:off x="478180" y="4048397"/>
          <a:ext cx="1833550" cy="1007819"/>
        </a:xfrm>
        <a:prstGeom prst="round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59707E-A5A4-4888-9C50-9E2FD5E8C2B7}" type="TxLink">
            <a:rPr lang="en-US" sz="1200" b="1" i="0" u="none" strike="noStrike">
              <a:solidFill>
                <a:schemeClr val="bg1"/>
              </a:solidFill>
              <a:latin typeface="Aptos"/>
            </a:rPr>
            <a:pPr algn="ctr"/>
            <a:t>3.9</a:t>
          </a:fld>
          <a:endParaRPr lang="en-IN" sz="1200" b="1">
            <a:solidFill>
              <a:schemeClr val="bg1"/>
            </a:solidFill>
            <a:latin typeface="+mj-lt"/>
          </a:endParaRPr>
        </a:p>
      </xdr:txBody>
    </xdr:sp>
    <xdr:clientData/>
  </xdr:twoCellAnchor>
  <xdr:twoCellAnchor>
    <xdr:from>
      <xdr:col>2</xdr:col>
      <xdr:colOff>594360</xdr:colOff>
      <xdr:row>23</xdr:row>
      <xdr:rowOff>15240</xdr:rowOff>
    </xdr:from>
    <xdr:to>
      <xdr:col>4</xdr:col>
      <xdr:colOff>396240</xdr:colOff>
      <xdr:row>24</xdr:row>
      <xdr:rowOff>106680</xdr:rowOff>
    </xdr:to>
    <xdr:sp macro="" textlink="">
      <xdr:nvSpPr>
        <xdr:cNvPr id="23" name="TextBox 22">
          <a:extLst>
            <a:ext uri="{FF2B5EF4-FFF2-40B4-BE49-F238E27FC236}">
              <a16:creationId xmlns:a16="http://schemas.microsoft.com/office/drawing/2014/main" id="{FA52A5A1-4E51-4AEA-9445-21CA1AE86D95}"/>
            </a:ext>
          </a:extLst>
        </xdr:cNvPr>
        <xdr:cNvSpPr txBox="1"/>
      </xdr:nvSpPr>
      <xdr:spPr>
        <a:xfrm>
          <a:off x="952500" y="4221480"/>
          <a:ext cx="1143000" cy="27432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Avg.</a:t>
          </a:r>
          <a:r>
            <a:rPr lang="en-IN" sz="1400" b="1" baseline="0">
              <a:solidFill>
                <a:schemeClr val="bg1"/>
              </a:solidFill>
            </a:rPr>
            <a:t> Rating</a:t>
          </a:r>
          <a:endParaRPr lang="en-IN" sz="1400" b="1">
            <a:solidFill>
              <a:schemeClr val="bg1"/>
            </a:solidFill>
          </a:endParaRPr>
        </a:p>
      </xdr:txBody>
    </xdr:sp>
    <xdr:clientData/>
  </xdr:twoCellAnchor>
  <xdr:twoCellAnchor editAs="oneCell">
    <xdr:from>
      <xdr:col>2</xdr:col>
      <xdr:colOff>254110</xdr:colOff>
      <xdr:row>23</xdr:row>
      <xdr:rowOff>87140</xdr:rowOff>
    </xdr:from>
    <xdr:to>
      <xdr:col>2</xdr:col>
      <xdr:colOff>512206</xdr:colOff>
      <xdr:row>24</xdr:row>
      <xdr:rowOff>167106</xdr:rowOff>
    </xdr:to>
    <xdr:pic>
      <xdr:nvPicPr>
        <xdr:cNvPr id="24" name="Graphic 23">
          <a:extLst>
            <a:ext uri="{FF2B5EF4-FFF2-40B4-BE49-F238E27FC236}">
              <a16:creationId xmlns:a16="http://schemas.microsoft.com/office/drawing/2014/main" id="{7AB9E0B5-C36C-4B29-95FF-6915672807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10370" y="4184127"/>
          <a:ext cx="258096" cy="258096"/>
        </a:xfrm>
        <a:prstGeom prst="rect">
          <a:avLst/>
        </a:prstGeom>
      </xdr:spPr>
    </xdr:pic>
    <xdr:clientData/>
  </xdr:twoCellAnchor>
  <xdr:twoCellAnchor>
    <xdr:from>
      <xdr:col>2</xdr:col>
      <xdr:colOff>350520</xdr:colOff>
      <xdr:row>26</xdr:row>
      <xdr:rowOff>76200</xdr:rowOff>
    </xdr:from>
    <xdr:to>
      <xdr:col>4</xdr:col>
      <xdr:colOff>312420</xdr:colOff>
      <xdr:row>27</xdr:row>
      <xdr:rowOff>160020</xdr:rowOff>
    </xdr:to>
    <xdr:sp macro="" textlink="Pivots!D8">
      <xdr:nvSpPr>
        <xdr:cNvPr id="25" name="TextBox 24">
          <a:extLst>
            <a:ext uri="{FF2B5EF4-FFF2-40B4-BE49-F238E27FC236}">
              <a16:creationId xmlns:a16="http://schemas.microsoft.com/office/drawing/2014/main" id="{E6C732B8-68F1-4FCD-92ED-E102110FD31C}"/>
            </a:ext>
          </a:extLst>
        </xdr:cNvPr>
        <xdr:cNvSpPr txBox="1"/>
      </xdr:nvSpPr>
      <xdr:spPr>
        <a:xfrm>
          <a:off x="708660" y="4831080"/>
          <a:ext cx="1303020" cy="26670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5C0CD4-1C4B-4C59-B8C3-75B015EBD0C1}" type="TxLink">
            <a:rPr lang="en-US" sz="1200" b="1" i="0" u="none" strike="noStrike">
              <a:solidFill>
                <a:schemeClr val="bg1"/>
              </a:solidFill>
              <a:latin typeface="Aptos"/>
            </a:rPr>
            <a:pPr algn="ctr"/>
            <a:t>3.9</a:t>
          </a:fld>
          <a:endParaRPr lang="en-IN" sz="1200" b="1">
            <a:solidFill>
              <a:schemeClr val="bg1"/>
            </a:solidFill>
          </a:endParaRPr>
        </a:p>
      </xdr:txBody>
    </xdr:sp>
    <xdr:clientData/>
  </xdr:twoCellAnchor>
  <xdr:twoCellAnchor>
    <xdr:from>
      <xdr:col>2</xdr:col>
      <xdr:colOff>121920</xdr:colOff>
      <xdr:row>29</xdr:row>
      <xdr:rowOff>68580</xdr:rowOff>
    </xdr:from>
    <xdr:to>
      <xdr:col>4</xdr:col>
      <xdr:colOff>609600</xdr:colOff>
      <xdr:row>35</xdr:row>
      <xdr:rowOff>7620</xdr:rowOff>
    </xdr:to>
    <xdr:sp macro="" textlink="Pivots!E4">
      <xdr:nvSpPr>
        <xdr:cNvPr id="26" name="Rectangle: Rounded Corners 25">
          <a:extLst>
            <a:ext uri="{FF2B5EF4-FFF2-40B4-BE49-F238E27FC236}">
              <a16:creationId xmlns:a16="http://schemas.microsoft.com/office/drawing/2014/main" id="{D7466C46-2F85-46AE-87C0-ED1BF102B719}"/>
            </a:ext>
          </a:extLst>
        </xdr:cNvPr>
        <xdr:cNvSpPr/>
      </xdr:nvSpPr>
      <xdr:spPr>
        <a:xfrm>
          <a:off x="478180" y="5234346"/>
          <a:ext cx="1833550" cy="1007819"/>
        </a:xfrm>
        <a:prstGeom prst="roundRect">
          <a:avLst/>
        </a:prstGeom>
        <a:solidFill>
          <a:srgbClr val="FF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7E4CB4-2A34-4BC3-A5EE-7A1C94732EC3}" type="TxLink">
            <a:rPr lang="en-US" sz="1200" b="1" i="0" u="none" strike="noStrike">
              <a:solidFill>
                <a:schemeClr val="bg1"/>
              </a:solidFill>
              <a:latin typeface="Aptos"/>
            </a:rPr>
            <a:pPr algn="ctr"/>
            <a:t>307</a:t>
          </a:fld>
          <a:endParaRPr lang="en-IN" sz="1200" b="1">
            <a:solidFill>
              <a:schemeClr val="bg1"/>
            </a:solidFill>
            <a:latin typeface="+mj-lt"/>
          </a:endParaRPr>
        </a:p>
      </xdr:txBody>
    </xdr:sp>
    <xdr:clientData/>
  </xdr:twoCellAnchor>
  <xdr:twoCellAnchor>
    <xdr:from>
      <xdr:col>2</xdr:col>
      <xdr:colOff>594360</xdr:colOff>
      <xdr:row>29</xdr:row>
      <xdr:rowOff>137160</xdr:rowOff>
    </xdr:from>
    <xdr:to>
      <xdr:col>4</xdr:col>
      <xdr:colOff>457200</xdr:colOff>
      <xdr:row>31</xdr:row>
      <xdr:rowOff>45720</xdr:rowOff>
    </xdr:to>
    <xdr:sp macro="" textlink="">
      <xdr:nvSpPr>
        <xdr:cNvPr id="27" name="TextBox 26">
          <a:extLst>
            <a:ext uri="{FF2B5EF4-FFF2-40B4-BE49-F238E27FC236}">
              <a16:creationId xmlns:a16="http://schemas.microsoft.com/office/drawing/2014/main" id="{5E4F2F39-FE4B-48C2-B20F-13036229D80E}"/>
            </a:ext>
          </a:extLst>
        </xdr:cNvPr>
        <xdr:cNvSpPr txBox="1"/>
      </xdr:nvSpPr>
      <xdr:spPr>
        <a:xfrm>
          <a:off x="952500" y="5440680"/>
          <a:ext cx="1203960" cy="27432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Happy Calls</a:t>
          </a:r>
        </a:p>
      </xdr:txBody>
    </xdr:sp>
    <xdr:clientData/>
  </xdr:twoCellAnchor>
  <xdr:twoCellAnchor editAs="oneCell">
    <xdr:from>
      <xdr:col>2</xdr:col>
      <xdr:colOff>254110</xdr:colOff>
      <xdr:row>30</xdr:row>
      <xdr:rowOff>26180</xdr:rowOff>
    </xdr:from>
    <xdr:to>
      <xdr:col>2</xdr:col>
      <xdr:colOff>512206</xdr:colOff>
      <xdr:row>31</xdr:row>
      <xdr:rowOff>106146</xdr:rowOff>
    </xdr:to>
    <xdr:pic>
      <xdr:nvPicPr>
        <xdr:cNvPr id="28" name="Graphic 27">
          <a:extLst>
            <a:ext uri="{FF2B5EF4-FFF2-40B4-BE49-F238E27FC236}">
              <a16:creationId xmlns:a16="http://schemas.microsoft.com/office/drawing/2014/main" id="{B201E4E8-CC7E-485C-81E7-89B0D02766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10370" y="5370076"/>
          <a:ext cx="258096" cy="258096"/>
        </a:xfrm>
        <a:prstGeom prst="rect">
          <a:avLst/>
        </a:prstGeom>
      </xdr:spPr>
    </xdr:pic>
    <xdr:clientData/>
  </xdr:twoCellAnchor>
  <xdr:twoCellAnchor>
    <xdr:from>
      <xdr:col>2</xdr:col>
      <xdr:colOff>350520</xdr:colOff>
      <xdr:row>33</xdr:row>
      <xdr:rowOff>15240</xdr:rowOff>
    </xdr:from>
    <xdr:to>
      <xdr:col>4</xdr:col>
      <xdr:colOff>312420</xdr:colOff>
      <xdr:row>34</xdr:row>
      <xdr:rowOff>99060</xdr:rowOff>
    </xdr:to>
    <xdr:sp macro="" textlink="Pivots!E8">
      <xdr:nvSpPr>
        <xdr:cNvPr id="29" name="TextBox 28">
          <a:extLst>
            <a:ext uri="{FF2B5EF4-FFF2-40B4-BE49-F238E27FC236}">
              <a16:creationId xmlns:a16="http://schemas.microsoft.com/office/drawing/2014/main" id="{AAA2BB96-3509-4978-A520-A048E9905190}"/>
            </a:ext>
          </a:extLst>
        </xdr:cNvPr>
        <xdr:cNvSpPr txBox="1"/>
      </xdr:nvSpPr>
      <xdr:spPr>
        <a:xfrm>
          <a:off x="706780" y="5893526"/>
          <a:ext cx="1307770" cy="261950"/>
        </a:xfrm>
        <a:prstGeom prst="rect">
          <a:avLst/>
        </a:prstGeom>
        <a:solidFill>
          <a:srgbClr val="FF6600"/>
        </a:solidFill>
        <a:ln w="9525" cmpd="sng">
          <a:solidFill>
            <a:srgbClr val="FF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2922D5-9ED6-424E-A2CE-D986D642A7E3}" type="TxLink">
            <a:rPr lang="en-US" sz="1200" b="1" i="0" u="none" strike="noStrike">
              <a:solidFill>
                <a:schemeClr val="bg1"/>
              </a:solidFill>
              <a:latin typeface="Aptos"/>
            </a:rPr>
            <a:pPr algn="ctr"/>
            <a:t>122</a:t>
          </a:fld>
          <a:endParaRPr lang="en-IN" sz="1200" b="1">
            <a:solidFill>
              <a:schemeClr val="bg1"/>
            </a:solidFill>
          </a:endParaRPr>
        </a:p>
      </xdr:txBody>
    </xdr:sp>
    <xdr:clientData/>
  </xdr:twoCellAnchor>
  <xdr:twoCellAnchor editAs="oneCell">
    <xdr:from>
      <xdr:col>24</xdr:col>
      <xdr:colOff>158337</xdr:colOff>
      <xdr:row>2</xdr:row>
      <xdr:rowOff>89070</xdr:rowOff>
    </xdr:from>
    <xdr:to>
      <xdr:col>25</xdr:col>
      <xdr:colOff>356259</xdr:colOff>
      <xdr:row>13</xdr:row>
      <xdr:rowOff>29694</xdr:rowOff>
    </xdr:to>
    <mc:AlternateContent xmlns:mc="http://schemas.openxmlformats.org/markup-compatibility/2006">
      <mc:Choice xmlns:a14="http://schemas.microsoft.com/office/drawing/2010/main" Requires="a14">
        <xdr:graphicFrame macro="">
          <xdr:nvGraphicFramePr>
            <xdr:cNvPr id="30" name="Representative">
              <a:extLst>
                <a:ext uri="{FF2B5EF4-FFF2-40B4-BE49-F238E27FC236}">
                  <a16:creationId xmlns:a16="http://schemas.microsoft.com/office/drawing/2014/main" id="{4C635511-E3B0-45F9-9651-5872CF94895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5319168" y="623460"/>
              <a:ext cx="870857" cy="1900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376052</xdr:colOff>
      <xdr:row>1</xdr:row>
      <xdr:rowOff>207817</xdr:rowOff>
    </xdr:from>
    <xdr:to>
      <xdr:col>10</xdr:col>
      <xdr:colOff>465117</xdr:colOff>
      <xdr:row>17</xdr:row>
      <xdr:rowOff>11875</xdr:rowOff>
    </xdr:to>
    <xdr:graphicFrame macro="">
      <xdr:nvGraphicFramePr>
        <xdr:cNvPr id="31" name="Chart 30">
          <a:extLst>
            <a:ext uri="{FF2B5EF4-FFF2-40B4-BE49-F238E27FC236}">
              <a16:creationId xmlns:a16="http://schemas.microsoft.com/office/drawing/2014/main" id="{1561ADDA-B28B-477F-82C7-05E00E50E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603663</xdr:colOff>
      <xdr:row>1</xdr:row>
      <xdr:rowOff>227610</xdr:rowOff>
    </xdr:from>
    <xdr:to>
      <xdr:col>15</xdr:col>
      <xdr:colOff>425532</xdr:colOff>
      <xdr:row>17</xdr:row>
      <xdr:rowOff>31668</xdr:rowOff>
    </xdr:to>
    <xdr:graphicFrame macro="">
      <xdr:nvGraphicFramePr>
        <xdr:cNvPr id="32" name="Chart 31">
          <a:extLst>
            <a:ext uri="{FF2B5EF4-FFF2-40B4-BE49-F238E27FC236}">
              <a16:creationId xmlns:a16="http://schemas.microsoft.com/office/drawing/2014/main" id="{6F75536D-DF96-40BA-A3A4-DFDBB2C82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514597</xdr:colOff>
      <xdr:row>1</xdr:row>
      <xdr:rowOff>267193</xdr:rowOff>
    </xdr:from>
    <xdr:to>
      <xdr:col>20</xdr:col>
      <xdr:colOff>247403</xdr:colOff>
      <xdr:row>14</xdr:row>
      <xdr:rowOff>128649</xdr:rowOff>
    </xdr:to>
    <xdr:graphicFrame macro="">
      <xdr:nvGraphicFramePr>
        <xdr:cNvPr id="2" name="Chart 1">
          <a:extLst>
            <a:ext uri="{FF2B5EF4-FFF2-40B4-BE49-F238E27FC236}">
              <a16:creationId xmlns:a16="http://schemas.microsoft.com/office/drawing/2014/main" id="{29A4A883-7F3C-41AF-A686-4C60E60AC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524493</xdr:colOff>
      <xdr:row>17</xdr:row>
      <xdr:rowOff>158337</xdr:rowOff>
    </xdr:from>
    <xdr:to>
      <xdr:col>14</xdr:col>
      <xdr:colOff>494805</xdr:colOff>
      <xdr:row>34</xdr:row>
      <xdr:rowOff>148443</xdr:rowOff>
    </xdr:to>
    <xdr:sp macro="" textlink="">
      <xdr:nvSpPr>
        <xdr:cNvPr id="11" name="Rectangle 10">
          <a:extLst>
            <a:ext uri="{FF2B5EF4-FFF2-40B4-BE49-F238E27FC236}">
              <a16:creationId xmlns:a16="http://schemas.microsoft.com/office/drawing/2014/main" id="{2CCF19A0-3CD7-ECB3-03AB-F9EF0AC8AEFA}"/>
            </a:ext>
          </a:extLst>
        </xdr:cNvPr>
        <xdr:cNvSpPr/>
      </xdr:nvSpPr>
      <xdr:spPr>
        <a:xfrm>
          <a:off x="2899558" y="3364675"/>
          <a:ext cx="6026728" cy="301831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18</xdr:row>
      <xdr:rowOff>98961</xdr:rowOff>
    </xdr:from>
    <xdr:to>
      <xdr:col>11</xdr:col>
      <xdr:colOff>19793</xdr:colOff>
      <xdr:row>34</xdr:row>
      <xdr:rowOff>1981</xdr:rowOff>
    </xdr:to>
    <xdr:graphicFrame macro="">
      <xdr:nvGraphicFramePr>
        <xdr:cNvPr id="6" name="Chart 5">
          <a:extLst>
            <a:ext uri="{FF2B5EF4-FFF2-40B4-BE49-F238E27FC236}">
              <a16:creationId xmlns:a16="http://schemas.microsoft.com/office/drawing/2014/main" id="{0062E475-7D31-4739-AF45-DA511BE25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36864</xdr:colOff>
      <xdr:row>18</xdr:row>
      <xdr:rowOff>118754</xdr:rowOff>
    </xdr:from>
    <xdr:to>
      <xdr:col>14</xdr:col>
      <xdr:colOff>475014</xdr:colOff>
      <xdr:row>33</xdr:row>
      <xdr:rowOff>174024</xdr:rowOff>
    </xdr:to>
    <xdr:graphicFrame macro="">
      <xdr:nvGraphicFramePr>
        <xdr:cNvPr id="7" name="Chart 6">
          <a:extLst>
            <a:ext uri="{FF2B5EF4-FFF2-40B4-BE49-F238E27FC236}">
              <a16:creationId xmlns:a16="http://schemas.microsoft.com/office/drawing/2014/main" id="{9ADF73FD-9683-4E97-9BF1-A8AD83E98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346363</xdr:colOff>
      <xdr:row>2</xdr:row>
      <xdr:rowOff>-1</xdr:rowOff>
    </xdr:from>
    <xdr:to>
      <xdr:col>23</xdr:col>
      <xdr:colOff>670708</xdr:colOff>
      <xdr:row>14</xdr:row>
      <xdr:rowOff>148444</xdr:rowOff>
    </xdr:to>
    <xdr:graphicFrame macro="">
      <xdr:nvGraphicFramePr>
        <xdr:cNvPr id="12" name="Chart 11">
          <a:extLst>
            <a:ext uri="{FF2B5EF4-FFF2-40B4-BE49-F238E27FC236}">
              <a16:creationId xmlns:a16="http://schemas.microsoft.com/office/drawing/2014/main" id="{F3D638E7-3994-4712-B0C4-68697BE03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5.910712500001" backgroundQuery="1" createdVersion="8" refreshedVersion="8" minRefreshableVersion="3" recordCount="0" supportSubquery="1" supportAdvancedDrill="1" xr:uid="{12D7F623-38AF-492E-BD33-037367E2BA19}">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7.811260069444" backgroundQuery="1" createdVersion="8" refreshedVersion="8" minRefreshableVersion="3" recordCount="0" supportSubquery="1" supportAdvancedDrill="1" xr:uid="{1C5FDC18-4F94-4610-91A3-9CE6819D3F36}">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646351620373" backgroundQuery="1" createdVersion="8" refreshedVersion="8" minRefreshableVersion="3" recordCount="0" supportSubquery="1" supportAdvancedDrill="1" xr:uid="{C77D0636-580F-4BD9-8BC7-976F6FEF04D2}">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18287039" backgroundQuery="1" createdVersion="8" refreshedVersion="8" minRefreshableVersion="3" recordCount="0" supportSubquery="1" supportAdvancedDrill="1" xr:uid="{4BCBF1C0-E8DA-4DF5-9522-DF05A09154D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19444447" backgroundQuery="1" createdVersion="8" refreshedVersion="8" minRefreshableVersion="3" recordCount="0" supportSubquery="1" supportAdvancedDrill="1" xr:uid="{3F73079E-9322-451F-94CC-649667D302C7}">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2048611" backgroundQuery="1" createdVersion="8" refreshedVersion="8" minRefreshableVersion="3" recordCount="0" supportSubquery="1" supportAdvancedDrill="1" xr:uid="{2BB91F51-AA3C-4E38-8519-4445FE81C0E4}">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22222226" backgroundQuery="1" createdVersion="8" refreshedVersion="8" minRefreshableVersion="3" recordCount="0" supportSubquery="1" supportAdvancedDrill="1" xr:uid="{3DD938E4-8498-4B86-ACEF-9D1E34B11878}">
  <cacheSource type="external" connectionId="1"/>
  <cacheFields count="1">
    <cacheField name="[calls].[Representative].[Representative]" caption="Representative" numFmtId="0" hierarchy="3" level="1">
      <sharedItems count="2">
        <s v="R03"/>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22685188" backgroundQuery="1" createdVersion="8" refreshedVersion="8" minRefreshableVersion="3" recordCount="0" supportSubquery="1" supportAdvancedDrill="1" xr:uid="{3A430C1D-16AE-4BAF-B516-C11EBB09DC2B}">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9.768323032411" backgroundQuery="1" createdVersion="8" refreshedVersion="8" minRefreshableVersion="3" recordCount="0" supportSubquery="1" supportAdvancedDrill="1" xr:uid="{A2522F90-4FA3-45B8-A953-7C9D19AC1837}">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2">
        <s v="R03"/>
        <s v="R0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mya Ajaykumar" refreshedDate="46125.910716666665" backgroundQuery="1" createdVersion="3" refreshedVersion="8" minRefreshableVersion="3" recordCount="0" supportSubquery="1" supportAdvancedDrill="1" xr:uid="{577D7747-7D5F-44CE-B9AF-A842DD581E5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01839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D31E9-B6B4-4043-9FF4-6EAD2AE35D02}" name="Selected Rep" cacheId="111" applyNumberFormats="0" applyBorderFormats="0" applyFontFormats="0" applyPatternFormats="0" applyAlignmentFormats="0" applyWidthHeightFormats="1" dataCaption="Values" tag="6297cd28-b2ec-4d4d-b81a-d277d32231f5" updatedVersion="8" minRefreshableVersion="3" useAutoFormatting="1" subtotalHiddenItems="1" rowGrandTotals="0" colGrandTotals="0" itemPrintTitles="1" createdVersion="8" indent="0" outline="1" outlineData="1" multipleFieldFilters="0">
  <location ref="C42:C44" firstHeaderRow="1" firstDataRow="1" firstDataCol="1"/>
  <pivotFields count="1">
    <pivotField axis="axisRow" allDrilled="1" subtotalTop="0" showAll="0" dataSourceSort="1" defaultSubtotal="0" defaultAttributeDrillState="1">
      <items count="2">
        <item s="1" x="0"/>
        <item s="1" x="1"/>
      </items>
    </pivotField>
  </pivotFields>
  <rowFields count="1">
    <field x="0"/>
  </rowFields>
  <rowItems count="2">
    <i>
      <x/>
    </i>
    <i>
      <x v="1"/>
    </i>
  </rowItems>
  <formats count="1">
    <format dxfId="2">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6DE25-42D7-4E17-A047-2F598942C89D}"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46:D5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4DE90B-9A15-4E23-BEAA-34E7EAFA0558}" name="PivotTable7" cacheId="102" applyNumberFormats="0" applyBorderFormats="0" applyFontFormats="0" applyPatternFormats="0" applyAlignmentFormats="0" applyWidthHeightFormats="1" dataCaption="Values" tag="3b9acd8d-5ea4-40c4-ae3f-68fdbaf391ff"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
    <dataField fld="1" subtotal="count" baseField="0" baseItem="0"/>
    <dataField fld="2" subtotal="count" baseField="0" baseItem="0"/>
    <dataField fld="3" subtotal="count" baseField="0" baseItem="0"/>
    <dataField fld="4" subtotal="count" baseField="0" baseItem="0"/>
  </dataFields>
  <formats count="1">
    <format dxfId="3">
      <pivotArea outline="0" collapsedLevelsAreSubtotals="1" fieldPosition="0">
        <references count="1">
          <reference field="4294967294" count="1" selected="0">
            <x v="0"/>
          </reference>
        </references>
      </pivotArea>
    </format>
  </formats>
  <pivotHierarchies count="25">
    <pivotHierarchy dragToData="1"/>
    <pivotHierarchy dragToData="1"/>
    <pivotHierarchy dragToData="1"/>
    <pivotHierarchy multipleItemSelectionAllowed="1" dragToData="1">
      <members count="2" level="1">
        <member name="[calls].[Representative].&amp;[R03]"/>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C2669C-1BF2-4B73-8F70-3179072F2514}" name="Summary Pivot" cacheId="0" applyNumberFormats="0" applyBorderFormats="0" applyFontFormats="0" applyPatternFormats="0" applyAlignmentFormats="0" applyWidthHeightFormats="1" dataCaption="Values" tag="0016a7bb-9390-4efb-bbc7-1ee56a44baf5"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
    <dataField fld="1" subtotal="count" baseField="0" baseItem="0"/>
    <dataField fld="2" subtotal="count" baseField="0" baseItem="0"/>
    <dataField fld="3" subtotal="count" baseField="0" baseItem="0"/>
    <dataField fld="4" subtotal="count" baseField="0" baseItem="0"/>
  </dataFields>
  <formats count="1">
    <format dxfId="24">
      <pivotArea outline="0" collapsedLevelsAreSubtotals="1" fieldPosition="0">
        <references count="1">
          <reference field="4294967294" count="1" selected="0">
            <x v="0"/>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E64493-0850-4953-9374-A16516B8DB0C}" name="rep pivot" cacheId="1" applyNumberFormats="0" applyBorderFormats="0" applyFontFormats="0" applyPatternFormats="0" applyAlignmentFormats="0" applyWidthHeightFormats="1" dataCaption="Values" tag="32a81650-f817-4b10-aeff-6af574f116c7" updatedVersion="8" minRefreshableVersion="3" useAutoFormatting="1" subtotalHiddenItems="1" itemPrintTitles="1" createdVersion="8" indent="0" outline="1" outlineData="1" multipleFieldFilters="0">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B2954-3DE8-4390-91E7-35D9F030F4F1}" name="Summary"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2:D82"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2">
        <item s="1" x="0"/>
        <item s="1" x="1"/>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3">
    <i>
      <x/>
    </i>
    <i>
      <x v="1"/>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D477F-2D77-4F9C-B381-5E67DAF25859}" name="Weekday Trend" cacheId="108" applyNumberFormats="0" applyBorderFormats="0" applyFontFormats="0" applyPatternFormats="0" applyAlignmentFormats="0" applyWidthHeightFormats="1" dataCaption="Values" tag="8a409d7b-ff01-49d7-bc6b-4e639b7922a9" updatedVersion="8" minRefreshableVersion="3" useAutoFormatting="1" subtotalHiddenItems="1" itemPrintTitles="1" createdVersion="8" indent="0" outline="1" outlineData="1" multipleFieldFilters="0" chartFormat="29">
  <location ref="F17:G25"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2" level="1">
        <member name="[calls].[Representative].&amp;[R03]"/>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39C86C-A65B-48B4-A637-0EE57A95CF2B}" name="Monthly Trend" cacheId="105" applyNumberFormats="0" applyBorderFormats="0" applyFontFormats="0" applyPatternFormats="0" applyAlignmentFormats="0" applyWidthHeightFormats="1" dataCaption="Values" tag="2a0d7128-653b-4e89-ae95-a9b37220c5f2" updatedVersion="8" minRefreshableVersion="3" useAutoFormatting="1" subtotalHiddenItems="1" itemPrintTitles="1" createdVersion="8" indent="0" outline="1" outlineData="1" multipleFieldFilters="0" chartFormat="16">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2" level="1">
        <member name="[calls].[Representative].&amp;[R03]"/>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C1981B-E95B-4F35-A6D8-2D256499DB2C}" name="Rep. Satisfaction"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3:B6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2" level="1">
        <member name="[calls].[Representative].&amp;[R03]"/>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6180942-DE55-4FC6-8DC9-225251F58BCE}" sourceName="[calls].[Representative]">
  <pivotTables>
    <pivotTable tabId="7" name="PivotTable7"/>
    <pivotTable tabId="7" name="Monthly Trend"/>
    <pivotTable tabId="7" name="Weekday Trend"/>
    <pivotTable tabId="7" name="Selected Rep"/>
    <pivotTable tabId="7" name="Rep. Satisfaction"/>
    <pivotTable tabId="7" name="Summary"/>
  </pivotTables>
  <data>
    <olap pivotCacheId="140018393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2">
        <selection n="[calls].[Representative].&amp;[R03]"/>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FAA6F4B-659B-4884-ACC8-241309846CD8}" cache="Slicer_Representative" caption="Representative" level="1"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3"/>
    <tableColumn id="5" xr3:uid="{5A35565E-8707-4DED-AD15-A0669D67B382}" name="Date of Call" dataDxfId="22"/>
    <tableColumn id="6" xr3:uid="{F2E4F158-B41F-47BC-8DF8-DFCADFEE4E40}" name="Purchase Amount"/>
    <tableColumn id="7" xr3:uid="{04B291B5-47BD-4F78-8FD8-D1551CCA6BD9}" name="Satisfaction Rating"/>
    <tableColumn id="8" xr3:uid="{6E4123C0-0B17-43B8-A142-A1E540CE974C}" name="FY" dataDxfId="21">
      <calculatedColumnFormula>IF(MONTH(calls[[#This Row],[Date of Call]])&lt;=6, YEAR(calls[[#This Row],[Date of Call]]), YEAR(calls[[#This Row],[Date of Call]])+1)</calculatedColumnFormula>
    </tableColumn>
    <tableColumn id="9" xr3:uid="{199FA271-5E9B-46CE-9BC6-2801F92CD17E}" name="Day of week" dataDxfId="20">
      <calculatedColumnFormula>TEXT(calls[[#This Row],[Date of Call]],"DDDD")</calculatedColumnFormula>
    </tableColumn>
    <tableColumn id="10" xr3:uid="{328CDB09-95B8-4D5E-9ED9-EF0D363735A1}" name="Duration Bucket" dataDxfId="1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7" headerRowBorderDxfId="16" tableBorderDxfId="15" totalsRowBorderDxfId="14">
  <autoFilter ref="Q3:T18" xr:uid="{27158F51-A707-4171-8A04-81FB0AABCBA5}"/>
  <tableColumns count="4">
    <tableColumn id="1" xr3:uid="{02688061-6A8C-4E23-B7FF-D00CD8B58CAC}" name="Customer ID" dataDxfId="13"/>
    <tableColumn id="2" xr3:uid="{771678B6-DB44-426B-9874-B4E421A440D5}" name="Gedner" dataDxfId="12"/>
    <tableColumn id="3" xr3:uid="{B0D41C62-587E-494D-B49A-603F2C05F8D3}" name="Age" dataDxfId="11"/>
    <tableColumn id="4" xr3:uid="{663F92D6-FE31-4D81-9E01-8D066DDC8A88}" name="City"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3615-3963-4DE5-9FCB-E33F569C7AD4}">
  <dimension ref="A3:K82"/>
  <sheetViews>
    <sheetView topLeftCell="A59" workbookViewId="0">
      <selection activeCell="W17" sqref="W17"/>
    </sheetView>
  </sheetViews>
  <sheetFormatPr defaultRowHeight="14.4" x14ac:dyDescent="0.3"/>
  <cols>
    <col min="1" max="1" width="12.19921875" bestFit="1" customWidth="1"/>
    <col min="2" max="2" width="15.19921875" bestFit="1" customWidth="1"/>
    <col min="3" max="3" width="7.796875" bestFit="1" customWidth="1"/>
    <col min="4" max="4" width="10.3984375" bestFit="1" customWidth="1"/>
    <col min="5" max="5" width="7.296875" bestFit="1" customWidth="1"/>
    <col min="6" max="6" width="12.19921875" bestFit="1" customWidth="1"/>
    <col min="7" max="7" width="9.5" bestFit="1" customWidth="1"/>
    <col min="8" max="43" width="15.19921875" bestFit="1" customWidth="1"/>
    <col min="44" max="44" width="10.3984375" bestFit="1" customWidth="1"/>
    <col min="45" max="152" width="15.19921875" bestFit="1" customWidth="1"/>
    <col min="153" max="153" width="10.3984375" bestFit="1" customWidth="1"/>
    <col min="154" max="760" width="15.19921875" bestFit="1" customWidth="1"/>
    <col min="761" max="761" width="14" bestFit="1" customWidth="1"/>
    <col min="762" max="762" width="16.09765625" bestFit="1" customWidth="1"/>
    <col min="763" max="763" width="16.8984375" bestFit="1" customWidth="1"/>
    <col min="764" max="764" width="17.59765625" bestFit="1" customWidth="1"/>
    <col min="765" max="765" width="11.69921875" bestFit="1" customWidth="1"/>
  </cols>
  <sheetData>
    <row r="3" spans="1:5" x14ac:dyDescent="0.3">
      <c r="A3" t="s">
        <v>1042</v>
      </c>
      <c r="B3" t="s">
        <v>1043</v>
      </c>
      <c r="C3" t="s">
        <v>1044</v>
      </c>
      <c r="D3" t="s">
        <v>1045</v>
      </c>
      <c r="E3" t="s">
        <v>1046</v>
      </c>
    </row>
    <row r="4" spans="1:5" x14ac:dyDescent="0.3">
      <c r="A4" s="26">
        <v>1000</v>
      </c>
      <c r="B4" s="21">
        <v>96623</v>
      </c>
      <c r="C4" s="22">
        <v>89850</v>
      </c>
      <c r="D4" s="23">
        <v>3.8854000000000033</v>
      </c>
      <c r="E4" s="22">
        <v>307</v>
      </c>
    </row>
    <row r="7" spans="1:5" x14ac:dyDescent="0.3">
      <c r="A7" t="s">
        <v>1042</v>
      </c>
      <c r="B7" t="s">
        <v>1043</v>
      </c>
      <c r="C7" t="s">
        <v>1044</v>
      </c>
      <c r="D7" t="s">
        <v>1045</v>
      </c>
      <c r="E7" t="s">
        <v>1046</v>
      </c>
    </row>
    <row r="8" spans="1:5" x14ac:dyDescent="0.3">
      <c r="A8" s="26">
        <v>393</v>
      </c>
      <c r="B8" s="38">
        <v>37523</v>
      </c>
      <c r="C8" s="22">
        <v>35507</v>
      </c>
      <c r="D8" s="23">
        <v>3.8770992366412234</v>
      </c>
      <c r="E8" s="22">
        <v>122</v>
      </c>
    </row>
    <row r="17" spans="1:11" x14ac:dyDescent="0.3">
      <c r="A17" s="24" t="s">
        <v>1047</v>
      </c>
      <c r="B17" t="s">
        <v>1042</v>
      </c>
      <c r="C17" t="s">
        <v>1061</v>
      </c>
      <c r="F17" s="24" t="s">
        <v>1047</v>
      </c>
      <c r="G17" t="s">
        <v>1042</v>
      </c>
    </row>
    <row r="18" spans="1:11" x14ac:dyDescent="0.3">
      <c r="A18" s="25" t="s">
        <v>1049</v>
      </c>
      <c r="B18" s="22">
        <v>23</v>
      </c>
      <c r="C18" s="22">
        <v>23</v>
      </c>
      <c r="F18" s="25" t="s">
        <v>1064</v>
      </c>
      <c r="G18" s="22">
        <v>59</v>
      </c>
    </row>
    <row r="19" spans="1:11" x14ac:dyDescent="0.3">
      <c r="A19" s="25" t="s">
        <v>1050</v>
      </c>
      <c r="B19" s="22">
        <v>24</v>
      </c>
      <c r="C19" s="22">
        <v>24</v>
      </c>
      <c r="F19" s="25" t="s">
        <v>1062</v>
      </c>
      <c r="G19" s="22">
        <v>56</v>
      </c>
    </row>
    <row r="20" spans="1:11" x14ac:dyDescent="0.3">
      <c r="A20" s="25" t="s">
        <v>1051</v>
      </c>
      <c r="B20" s="22">
        <v>58</v>
      </c>
      <c r="C20" s="22">
        <v>58</v>
      </c>
      <c r="F20" s="25" t="s">
        <v>1066</v>
      </c>
      <c r="G20" s="22">
        <v>45</v>
      </c>
    </row>
    <row r="21" spans="1:11" x14ac:dyDescent="0.3">
      <c r="A21" s="25" t="s">
        <v>1052</v>
      </c>
      <c r="B21" s="22">
        <v>47</v>
      </c>
      <c r="C21" s="22">
        <v>47</v>
      </c>
      <c r="F21" s="25" t="s">
        <v>1068</v>
      </c>
      <c r="G21" s="22">
        <v>67</v>
      </c>
    </row>
    <row r="22" spans="1:11" x14ac:dyDescent="0.3">
      <c r="A22" s="25" t="s">
        <v>1053</v>
      </c>
      <c r="B22" s="22">
        <v>45</v>
      </c>
      <c r="C22" s="22">
        <v>45</v>
      </c>
      <c r="F22" s="25" t="s">
        <v>1067</v>
      </c>
      <c r="G22" s="22">
        <v>54</v>
      </c>
    </row>
    <row r="23" spans="1:11" x14ac:dyDescent="0.3">
      <c r="A23" s="25" t="s">
        <v>1054</v>
      </c>
      <c r="B23" s="22">
        <v>28</v>
      </c>
      <c r="C23" s="22">
        <v>28</v>
      </c>
      <c r="F23" s="25" t="s">
        <v>1063</v>
      </c>
      <c r="G23" s="22">
        <v>57</v>
      </c>
    </row>
    <row r="24" spans="1:11" x14ac:dyDescent="0.3">
      <c r="A24" s="25" t="s">
        <v>1055</v>
      </c>
      <c r="B24" s="22">
        <v>28</v>
      </c>
      <c r="C24" s="22">
        <v>28</v>
      </c>
      <c r="F24" s="25" t="s">
        <v>1065</v>
      </c>
      <c r="G24" s="22">
        <v>55</v>
      </c>
    </row>
    <row r="25" spans="1:11" x14ac:dyDescent="0.3">
      <c r="A25" s="25" t="s">
        <v>1056</v>
      </c>
      <c r="B25" s="22">
        <v>23</v>
      </c>
      <c r="C25" s="22">
        <v>23</v>
      </c>
      <c r="F25" s="25" t="s">
        <v>1048</v>
      </c>
      <c r="G25" s="22">
        <v>393</v>
      </c>
    </row>
    <row r="26" spans="1:11" x14ac:dyDescent="0.3">
      <c r="A26" s="25" t="s">
        <v>1057</v>
      </c>
      <c r="B26" s="22">
        <v>27</v>
      </c>
      <c r="C26" s="22">
        <v>27</v>
      </c>
    </row>
    <row r="27" spans="1:11" x14ac:dyDescent="0.3">
      <c r="A27" s="25" t="s">
        <v>1058</v>
      </c>
      <c r="B27" s="22">
        <v>45</v>
      </c>
      <c r="C27" s="22">
        <v>45</v>
      </c>
    </row>
    <row r="28" spans="1:11" x14ac:dyDescent="0.3">
      <c r="A28" s="25" t="s">
        <v>1059</v>
      </c>
      <c r="B28" s="22">
        <v>22</v>
      </c>
      <c r="C28" s="22">
        <v>22</v>
      </c>
    </row>
    <row r="29" spans="1:11" x14ac:dyDescent="0.3">
      <c r="A29" s="25" t="s">
        <v>1060</v>
      </c>
      <c r="B29" s="22">
        <v>23</v>
      </c>
      <c r="C29" s="22">
        <v>23</v>
      </c>
    </row>
    <row r="30" spans="1:11" x14ac:dyDescent="0.3">
      <c r="A30" s="25" t="s">
        <v>1048</v>
      </c>
      <c r="B30" s="22">
        <v>393</v>
      </c>
      <c r="C30" s="22">
        <v>393</v>
      </c>
    </row>
    <row r="32" spans="1:11" x14ac:dyDescent="0.3">
      <c r="F32" t="s">
        <v>1069</v>
      </c>
      <c r="J32" t="s">
        <v>1075</v>
      </c>
      <c r="K32" t="str">
        <f>C43</f>
        <v>R03</v>
      </c>
    </row>
    <row r="33" spans="1:10" x14ac:dyDescent="0.3">
      <c r="A33" s="24" t="s">
        <v>1047</v>
      </c>
      <c r="B33" t="s">
        <v>1042</v>
      </c>
      <c r="C33" t="s">
        <v>1043</v>
      </c>
      <c r="F33" t="s">
        <v>1070</v>
      </c>
      <c r="G33" t="s">
        <v>1071</v>
      </c>
      <c r="H33" t="s">
        <v>1072</v>
      </c>
      <c r="I33" t="s">
        <v>1073</v>
      </c>
      <c r="J33" t="s">
        <v>1074</v>
      </c>
    </row>
    <row r="34" spans="1:10" x14ac:dyDescent="0.3">
      <c r="A34" s="25" t="s">
        <v>11</v>
      </c>
      <c r="B34" s="22">
        <v>189</v>
      </c>
      <c r="C34" s="21">
        <v>18415</v>
      </c>
      <c r="F34" s="25" t="str">
        <f>A34</f>
        <v>R01</v>
      </c>
      <c r="G34" s="25">
        <f t="shared" ref="G34:H38" si="0">B34</f>
        <v>189</v>
      </c>
      <c r="H34" s="27">
        <f>C34</f>
        <v>18415</v>
      </c>
      <c r="I34" t="e">
        <f>IF(F34=$K$32,G34,NA())</f>
        <v>#N/A</v>
      </c>
      <c r="J34" t="e">
        <f>IF(F34=$K$32,H34,NA())</f>
        <v>#N/A</v>
      </c>
    </row>
    <row r="35" spans="1:10" x14ac:dyDescent="0.3">
      <c r="A35" s="25" t="s">
        <v>9</v>
      </c>
      <c r="B35" s="22">
        <v>218</v>
      </c>
      <c r="C35" s="21">
        <v>20581</v>
      </c>
      <c r="F35" s="25" t="str">
        <f t="shared" ref="F35:F38" si="1">A35</f>
        <v>R02</v>
      </c>
      <c r="G35" s="25">
        <f t="shared" si="0"/>
        <v>218</v>
      </c>
      <c r="H35" s="27">
        <f t="shared" si="0"/>
        <v>20581</v>
      </c>
      <c r="I35" t="e">
        <f t="shared" ref="I35:I38" si="2">IF(F35=$K$32,G35,NA())</f>
        <v>#N/A</v>
      </c>
      <c r="J35" t="e">
        <f t="shared" ref="J35:J38" si="3">IF(F35=$K$32,H35,NA())</f>
        <v>#N/A</v>
      </c>
    </row>
    <row r="36" spans="1:10" x14ac:dyDescent="0.3">
      <c r="A36" s="25" t="s">
        <v>6</v>
      </c>
      <c r="B36" s="22">
        <v>207</v>
      </c>
      <c r="C36" s="21">
        <v>20872</v>
      </c>
      <c r="F36" s="25" t="str">
        <f t="shared" si="1"/>
        <v>R03</v>
      </c>
      <c r="G36" s="25">
        <f t="shared" si="0"/>
        <v>207</v>
      </c>
      <c r="H36" s="27">
        <f t="shared" si="0"/>
        <v>20872</v>
      </c>
      <c r="I36">
        <f t="shared" si="2"/>
        <v>207</v>
      </c>
      <c r="J36">
        <f t="shared" si="3"/>
        <v>20872</v>
      </c>
    </row>
    <row r="37" spans="1:10" x14ac:dyDescent="0.3">
      <c r="A37" s="25" t="s">
        <v>13</v>
      </c>
      <c r="B37" s="22">
        <v>186</v>
      </c>
      <c r="C37" s="21">
        <v>16651</v>
      </c>
      <c r="F37" s="25" t="str">
        <f t="shared" si="1"/>
        <v>R04</v>
      </c>
      <c r="G37" s="25">
        <f t="shared" si="0"/>
        <v>186</v>
      </c>
      <c r="H37" s="27">
        <f t="shared" si="0"/>
        <v>16651</v>
      </c>
      <c r="I37" t="e">
        <f t="shared" si="2"/>
        <v>#N/A</v>
      </c>
      <c r="J37" t="e">
        <f t="shared" si="3"/>
        <v>#N/A</v>
      </c>
    </row>
    <row r="38" spans="1:10" x14ac:dyDescent="0.3">
      <c r="A38" s="25" t="s">
        <v>10</v>
      </c>
      <c r="B38" s="22">
        <v>200</v>
      </c>
      <c r="C38" s="21">
        <v>20104</v>
      </c>
      <c r="F38" s="25" t="str">
        <f t="shared" si="1"/>
        <v>R05</v>
      </c>
      <c r="G38" s="25">
        <f t="shared" si="0"/>
        <v>200</v>
      </c>
      <c r="H38" s="27">
        <f t="shared" si="0"/>
        <v>20104</v>
      </c>
      <c r="I38" t="e">
        <f t="shared" si="2"/>
        <v>#N/A</v>
      </c>
      <c r="J38" t="e">
        <f t="shared" si="3"/>
        <v>#N/A</v>
      </c>
    </row>
    <row r="39" spans="1:10" x14ac:dyDescent="0.3">
      <c r="A39" s="25" t="s">
        <v>1048</v>
      </c>
      <c r="B39" s="22">
        <v>1000</v>
      </c>
      <c r="C39" s="21">
        <v>96623</v>
      </c>
    </row>
    <row r="42" spans="1:10" x14ac:dyDescent="0.3">
      <c r="C42" s="24" t="s">
        <v>1047</v>
      </c>
    </row>
    <row r="43" spans="1:10" x14ac:dyDescent="0.3">
      <c r="C43" s="28" t="s">
        <v>6</v>
      </c>
    </row>
    <row r="44" spans="1:10" x14ac:dyDescent="0.3">
      <c r="C44" s="28" t="s">
        <v>13</v>
      </c>
    </row>
    <row r="46" spans="1:10" x14ac:dyDescent="0.3">
      <c r="A46" s="24" t="s">
        <v>1042</v>
      </c>
      <c r="B46" s="24" t="s">
        <v>1076</v>
      </c>
    </row>
    <row r="47" spans="1:10" x14ac:dyDescent="0.3">
      <c r="A47" s="24" t="s">
        <v>1047</v>
      </c>
      <c r="B47" t="s">
        <v>999</v>
      </c>
      <c r="C47" t="s">
        <v>998</v>
      </c>
      <c r="D47" t="s">
        <v>1048</v>
      </c>
    </row>
    <row r="48" spans="1:10" x14ac:dyDescent="0.3">
      <c r="A48" s="25" t="s">
        <v>1002</v>
      </c>
      <c r="B48" s="22">
        <v>144</v>
      </c>
      <c r="C48" s="22">
        <v>132</v>
      </c>
      <c r="D48" s="22">
        <v>276</v>
      </c>
    </row>
    <row r="49" spans="1:4" x14ac:dyDescent="0.3">
      <c r="A49" s="25" t="s">
        <v>1001</v>
      </c>
      <c r="B49" s="22">
        <v>326</v>
      </c>
      <c r="C49" s="22">
        <v>63</v>
      </c>
      <c r="D49" s="22">
        <v>389</v>
      </c>
    </row>
    <row r="50" spans="1:4" x14ac:dyDescent="0.3">
      <c r="A50" s="25" t="s">
        <v>1000</v>
      </c>
      <c r="B50" s="22">
        <v>129</v>
      </c>
      <c r="C50" s="22">
        <v>206</v>
      </c>
      <c r="D50" s="22">
        <v>335</v>
      </c>
    </row>
    <row r="51" spans="1:4" x14ac:dyDescent="0.3">
      <c r="A51" s="25" t="s">
        <v>1048</v>
      </c>
      <c r="B51" s="22">
        <v>599</v>
      </c>
      <c r="C51" s="22">
        <v>401</v>
      </c>
      <c r="D51" s="22">
        <v>1000</v>
      </c>
    </row>
    <row r="53" spans="1:4" x14ac:dyDescent="0.3">
      <c r="A53" s="24" t="s">
        <v>1047</v>
      </c>
      <c r="B53" t="s">
        <v>1042</v>
      </c>
    </row>
    <row r="54" spans="1:4" x14ac:dyDescent="0.3">
      <c r="A54" s="25">
        <v>0</v>
      </c>
      <c r="B54" s="22">
        <v>1</v>
      </c>
    </row>
    <row r="55" spans="1:4" x14ac:dyDescent="0.3">
      <c r="A55" s="25">
        <v>1</v>
      </c>
      <c r="B55" s="22">
        <v>4</v>
      </c>
    </row>
    <row r="56" spans="1:4" x14ac:dyDescent="0.3">
      <c r="A56" s="25">
        <v>2</v>
      </c>
      <c r="B56" s="22">
        <v>21</v>
      </c>
    </row>
    <row r="57" spans="1:4" x14ac:dyDescent="0.3">
      <c r="A57" s="25">
        <v>3</v>
      </c>
      <c r="B57" s="22">
        <v>87</v>
      </c>
    </row>
    <row r="58" spans="1:4" x14ac:dyDescent="0.3">
      <c r="A58" s="25">
        <v>4</v>
      </c>
      <c r="B58" s="22">
        <v>158</v>
      </c>
    </row>
    <row r="59" spans="1:4" x14ac:dyDescent="0.3">
      <c r="A59" s="25">
        <v>5</v>
      </c>
      <c r="B59" s="22">
        <v>122</v>
      </c>
    </row>
    <row r="60" spans="1:4" x14ac:dyDescent="0.3">
      <c r="A60" s="25" t="s">
        <v>1048</v>
      </c>
      <c r="B60" s="22">
        <v>393</v>
      </c>
    </row>
    <row r="62" spans="1:4" x14ac:dyDescent="0.3">
      <c r="A62" s="24" t="s">
        <v>1043</v>
      </c>
      <c r="B62" s="24" t="s">
        <v>1076</v>
      </c>
    </row>
    <row r="63" spans="1:4" x14ac:dyDescent="0.3">
      <c r="A63" s="24" t="s">
        <v>1047</v>
      </c>
      <c r="B63" t="s">
        <v>6</v>
      </c>
      <c r="C63" t="s">
        <v>13</v>
      </c>
      <c r="D63" t="s">
        <v>1048</v>
      </c>
    </row>
    <row r="64" spans="1:4" x14ac:dyDescent="0.3">
      <c r="A64" s="25" t="s">
        <v>1002</v>
      </c>
      <c r="B64" s="37"/>
      <c r="C64" s="37"/>
      <c r="D64" s="37"/>
    </row>
    <row r="65" spans="1:4" x14ac:dyDescent="0.3">
      <c r="A65" s="29" t="s">
        <v>20</v>
      </c>
      <c r="B65" s="38">
        <v>1282</v>
      </c>
      <c r="C65" s="38">
        <v>739</v>
      </c>
      <c r="D65" s="38">
        <v>2021</v>
      </c>
    </row>
    <row r="66" spans="1:4" x14ac:dyDescent="0.3">
      <c r="A66" s="29" t="s">
        <v>12</v>
      </c>
      <c r="B66" s="38">
        <v>1206</v>
      </c>
      <c r="C66" s="38">
        <v>884</v>
      </c>
      <c r="D66" s="38">
        <v>2090</v>
      </c>
    </row>
    <row r="67" spans="1:4" x14ac:dyDescent="0.3">
      <c r="A67" s="29" t="s">
        <v>8</v>
      </c>
      <c r="B67" s="38">
        <v>1616</v>
      </c>
      <c r="C67" s="38">
        <v>1043</v>
      </c>
      <c r="D67" s="38">
        <v>2659</v>
      </c>
    </row>
    <row r="68" spans="1:4" x14ac:dyDescent="0.3">
      <c r="A68" s="29" t="s">
        <v>16</v>
      </c>
      <c r="B68" s="38">
        <v>866</v>
      </c>
      <c r="C68" s="38">
        <v>829</v>
      </c>
      <c r="D68" s="38">
        <v>1695</v>
      </c>
    </row>
    <row r="69" spans="1:4" x14ac:dyDescent="0.3">
      <c r="A69" s="25" t="s">
        <v>1001</v>
      </c>
      <c r="B69" s="37"/>
      <c r="C69" s="37"/>
      <c r="D69" s="37"/>
    </row>
    <row r="70" spans="1:4" x14ac:dyDescent="0.3">
      <c r="A70" s="29" t="s">
        <v>24</v>
      </c>
      <c r="B70" s="38">
        <v>1680</v>
      </c>
      <c r="C70" s="38">
        <v>990</v>
      </c>
      <c r="D70" s="38">
        <v>2670</v>
      </c>
    </row>
    <row r="71" spans="1:4" x14ac:dyDescent="0.3">
      <c r="A71" s="29" t="s">
        <v>15</v>
      </c>
      <c r="B71" s="38">
        <v>869</v>
      </c>
      <c r="C71" s="38">
        <v>1426</v>
      </c>
      <c r="D71" s="38">
        <v>2295</v>
      </c>
    </row>
    <row r="72" spans="1:4" x14ac:dyDescent="0.3">
      <c r="A72" s="29" t="s">
        <v>5</v>
      </c>
      <c r="B72" s="38">
        <v>960</v>
      </c>
      <c r="C72" s="38">
        <v>940</v>
      </c>
      <c r="D72" s="38">
        <v>1900</v>
      </c>
    </row>
    <row r="73" spans="1:4" x14ac:dyDescent="0.3">
      <c r="A73" s="29" t="s">
        <v>18</v>
      </c>
      <c r="B73" s="38">
        <v>1617</v>
      </c>
      <c r="C73" s="38">
        <v>1314</v>
      </c>
      <c r="D73" s="38">
        <v>2931</v>
      </c>
    </row>
    <row r="74" spans="1:4" x14ac:dyDescent="0.3">
      <c r="A74" s="29" t="s">
        <v>14</v>
      </c>
      <c r="B74" s="38">
        <v>1874</v>
      </c>
      <c r="C74" s="38">
        <v>1863</v>
      </c>
      <c r="D74" s="38">
        <v>3737</v>
      </c>
    </row>
    <row r="75" spans="1:4" x14ac:dyDescent="0.3">
      <c r="A75" s="29" t="s">
        <v>19</v>
      </c>
      <c r="B75" s="38">
        <v>1482</v>
      </c>
      <c r="C75" s="38">
        <v>846</v>
      </c>
      <c r="D75" s="38">
        <v>2328</v>
      </c>
    </row>
    <row r="76" spans="1:4" x14ac:dyDescent="0.3">
      <c r="A76" s="25" t="s">
        <v>1000</v>
      </c>
      <c r="B76" s="37"/>
      <c r="C76" s="37"/>
      <c r="D76" s="37"/>
    </row>
    <row r="77" spans="1:4" x14ac:dyDescent="0.3">
      <c r="A77" s="29" t="s">
        <v>17</v>
      </c>
      <c r="B77" s="38">
        <v>2263</v>
      </c>
      <c r="C77" s="38">
        <v>987</v>
      </c>
      <c r="D77" s="38">
        <v>3250</v>
      </c>
    </row>
    <row r="78" spans="1:4" x14ac:dyDescent="0.3">
      <c r="A78" s="29" t="s">
        <v>23</v>
      </c>
      <c r="B78" s="38">
        <v>1445</v>
      </c>
      <c r="C78" s="38">
        <v>1722</v>
      </c>
      <c r="D78" s="38">
        <v>3167</v>
      </c>
    </row>
    <row r="79" spans="1:4" x14ac:dyDescent="0.3">
      <c r="A79" s="29" t="s">
        <v>7</v>
      </c>
      <c r="B79" s="38">
        <v>1346</v>
      </c>
      <c r="C79" s="38">
        <v>1156</v>
      </c>
      <c r="D79" s="38">
        <v>2502</v>
      </c>
    </row>
    <row r="80" spans="1:4" x14ac:dyDescent="0.3">
      <c r="A80" s="29" t="s">
        <v>22</v>
      </c>
      <c r="B80" s="38">
        <v>1214</v>
      </c>
      <c r="C80" s="38">
        <v>1135</v>
      </c>
      <c r="D80" s="38">
        <v>2349</v>
      </c>
    </row>
    <row r="81" spans="1:4" x14ac:dyDescent="0.3">
      <c r="A81" s="29" t="s">
        <v>21</v>
      </c>
      <c r="B81" s="38">
        <v>1152</v>
      </c>
      <c r="C81" s="38">
        <v>777</v>
      </c>
      <c r="D81" s="38">
        <v>1929</v>
      </c>
    </row>
    <row r="82" spans="1:4" x14ac:dyDescent="0.3">
      <c r="A82" s="25" t="s">
        <v>1048</v>
      </c>
      <c r="B82" s="38">
        <v>20872</v>
      </c>
      <c r="C82" s="38">
        <v>16651</v>
      </c>
      <c r="D82" s="38">
        <v>37523</v>
      </c>
    </row>
  </sheetData>
  <phoneticPr fontId="2" type="noConversion"/>
  <pageMargins left="0.7" right="0.7" top="0.75" bottom="0.75" header="0.3" footer="0.3"/>
  <pageSetup paperSize="9"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7" sqref="C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F0FF-7B5A-45D3-BECE-2B26CE0CC63F}">
  <dimension ref="A1:Z38"/>
  <sheetViews>
    <sheetView tabSelected="1" zoomScale="77" zoomScaleNormal="77" workbookViewId="0">
      <selection activeCell="Y20" sqref="Y20"/>
    </sheetView>
  </sheetViews>
  <sheetFormatPr defaultRowHeight="14.4" x14ac:dyDescent="0.3"/>
  <cols>
    <col min="1" max="1" width="2.5" customWidth="1"/>
    <col min="2" max="2" width="2.19921875" customWidth="1"/>
  </cols>
  <sheetData>
    <row r="1" spans="1:26" ht="21" x14ac:dyDescent="0.4">
      <c r="A1" s="20"/>
      <c r="B1" s="20"/>
      <c r="C1" s="20"/>
      <c r="D1" s="20"/>
      <c r="E1" s="20"/>
      <c r="F1" s="20"/>
      <c r="G1" s="30" t="s">
        <v>1077</v>
      </c>
      <c r="H1" s="31"/>
      <c r="I1" s="20"/>
      <c r="J1" s="20"/>
      <c r="K1" s="20"/>
      <c r="L1" s="20"/>
      <c r="M1" s="20"/>
      <c r="N1" s="20"/>
      <c r="O1" s="20"/>
      <c r="P1" s="20"/>
      <c r="Q1" s="20"/>
      <c r="R1" s="20"/>
      <c r="S1" s="20"/>
      <c r="T1" s="20"/>
      <c r="U1" s="20"/>
      <c r="V1" s="20"/>
      <c r="W1" s="20"/>
      <c r="X1" s="20"/>
      <c r="Y1" s="20"/>
      <c r="Z1" s="20"/>
    </row>
    <row r="2" spans="1:26" ht="21" x14ac:dyDescent="0.4">
      <c r="A2" s="20"/>
      <c r="B2" s="20"/>
      <c r="C2" s="20"/>
      <c r="D2" s="20"/>
      <c r="E2" s="20"/>
      <c r="F2" s="20"/>
      <c r="G2" s="31"/>
      <c r="H2" s="31"/>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32" t="s">
        <v>1047</v>
      </c>
      <c r="R17" s="32" t="s">
        <v>11</v>
      </c>
      <c r="S17" s="32" t="s">
        <v>9</v>
      </c>
      <c r="T17" s="32" t="s">
        <v>6</v>
      </c>
      <c r="U17" s="32" t="s">
        <v>13</v>
      </c>
      <c r="V17" s="32" t="s">
        <v>10</v>
      </c>
      <c r="W17" s="32" t="s">
        <v>1048</v>
      </c>
      <c r="X17" s="20"/>
      <c r="Y17" s="20"/>
      <c r="Z17" s="20"/>
    </row>
    <row r="18" spans="1:26" x14ac:dyDescent="0.3">
      <c r="A18" s="20"/>
      <c r="B18" s="20"/>
      <c r="C18" s="20"/>
      <c r="D18" s="20"/>
      <c r="E18" s="20"/>
      <c r="F18" s="20"/>
      <c r="G18" s="20"/>
      <c r="H18" s="20"/>
      <c r="I18" s="20"/>
      <c r="J18" s="20"/>
      <c r="K18" s="20"/>
      <c r="L18" s="20"/>
      <c r="M18" s="20"/>
      <c r="N18" s="20"/>
      <c r="O18" s="20"/>
      <c r="P18" s="20"/>
      <c r="Q18" s="34" t="s">
        <v>1002</v>
      </c>
      <c r="R18" s="33"/>
      <c r="S18" s="33"/>
      <c r="T18" s="33"/>
      <c r="U18" s="33"/>
      <c r="V18" s="33"/>
      <c r="W18" s="33"/>
      <c r="X18" s="20"/>
      <c r="Y18" s="20"/>
      <c r="Z18" s="20"/>
    </row>
    <row r="19" spans="1:26" x14ac:dyDescent="0.3">
      <c r="A19" s="20"/>
      <c r="B19" s="20"/>
      <c r="C19" s="20"/>
      <c r="D19" s="20"/>
      <c r="E19" s="20"/>
      <c r="F19" s="20"/>
      <c r="G19" s="20"/>
      <c r="H19" s="20"/>
      <c r="I19" s="20"/>
      <c r="J19" s="20"/>
      <c r="K19" s="20"/>
      <c r="L19" s="20"/>
      <c r="M19" s="20"/>
      <c r="N19" s="20"/>
      <c r="O19" s="20"/>
      <c r="P19" s="20"/>
      <c r="Q19" s="29" t="s">
        <v>20</v>
      </c>
      <c r="R19" s="21">
        <v>891</v>
      </c>
      <c r="S19" s="21">
        <v>1332</v>
      </c>
      <c r="T19" s="21">
        <v>1282</v>
      </c>
      <c r="U19" s="21">
        <v>739</v>
      </c>
      <c r="V19" s="21">
        <v>560</v>
      </c>
      <c r="W19" s="21">
        <v>4804</v>
      </c>
      <c r="X19" s="20"/>
      <c r="Y19" s="20"/>
      <c r="Z19" s="20"/>
    </row>
    <row r="20" spans="1:26" x14ac:dyDescent="0.3">
      <c r="A20" s="20"/>
      <c r="B20" s="20"/>
      <c r="C20" s="20"/>
      <c r="D20" s="20"/>
      <c r="E20" s="20"/>
      <c r="F20" s="20"/>
      <c r="G20" s="20"/>
      <c r="H20" s="20"/>
      <c r="I20" s="20"/>
      <c r="J20" s="20"/>
      <c r="K20" s="20"/>
      <c r="L20" s="20"/>
      <c r="M20" s="20"/>
      <c r="N20" s="20"/>
      <c r="O20" s="20"/>
      <c r="P20" s="20"/>
      <c r="Q20" s="29" t="s">
        <v>12</v>
      </c>
      <c r="R20" s="21">
        <v>1991</v>
      </c>
      <c r="S20" s="21">
        <v>1886</v>
      </c>
      <c r="T20" s="21">
        <v>1206</v>
      </c>
      <c r="U20" s="21">
        <v>884</v>
      </c>
      <c r="V20" s="21">
        <v>1722</v>
      </c>
      <c r="W20" s="21">
        <v>7689</v>
      </c>
      <c r="X20" s="20"/>
      <c r="Y20" s="20"/>
      <c r="Z20" s="20"/>
    </row>
    <row r="21" spans="1:26" x14ac:dyDescent="0.3">
      <c r="A21" s="20"/>
      <c r="B21" s="20"/>
      <c r="C21" s="20"/>
      <c r="D21" s="20"/>
      <c r="E21" s="20"/>
      <c r="F21" s="20"/>
      <c r="G21" s="20"/>
      <c r="H21" s="20"/>
      <c r="I21" s="20"/>
      <c r="J21" s="20"/>
      <c r="K21" s="20"/>
      <c r="L21" s="20"/>
      <c r="M21" s="20"/>
      <c r="N21" s="20"/>
      <c r="O21" s="20"/>
      <c r="P21" s="20"/>
      <c r="Q21" s="29" t="s">
        <v>8</v>
      </c>
      <c r="R21" s="21">
        <v>1163</v>
      </c>
      <c r="S21" s="21">
        <v>1180</v>
      </c>
      <c r="T21" s="21">
        <v>1616</v>
      </c>
      <c r="U21" s="21">
        <v>1043</v>
      </c>
      <c r="V21" s="21">
        <v>1747</v>
      </c>
      <c r="W21" s="21">
        <v>6749</v>
      </c>
      <c r="X21" s="20"/>
      <c r="Y21" s="20"/>
      <c r="Z21" s="20"/>
    </row>
    <row r="22" spans="1:26" x14ac:dyDescent="0.3">
      <c r="A22" s="20"/>
      <c r="B22" s="20"/>
      <c r="C22" s="20"/>
      <c r="D22" s="20"/>
      <c r="E22" s="20"/>
      <c r="F22" s="20"/>
      <c r="G22" s="20"/>
      <c r="H22" s="20"/>
      <c r="I22" s="20"/>
      <c r="J22" s="20"/>
      <c r="K22" s="20"/>
      <c r="L22" s="20"/>
      <c r="M22" s="20"/>
      <c r="N22" s="20"/>
      <c r="O22" s="20"/>
      <c r="P22" s="20"/>
      <c r="Q22" s="29" t="s">
        <v>16</v>
      </c>
      <c r="R22" s="21">
        <v>1438</v>
      </c>
      <c r="S22" s="21">
        <v>1616</v>
      </c>
      <c r="T22" s="21">
        <v>866</v>
      </c>
      <c r="U22" s="21">
        <v>829</v>
      </c>
      <c r="V22" s="21">
        <v>2070</v>
      </c>
      <c r="W22" s="21">
        <v>6819</v>
      </c>
      <c r="X22" s="20"/>
      <c r="Y22" s="20"/>
      <c r="Z22" s="20"/>
    </row>
    <row r="23" spans="1:26" x14ac:dyDescent="0.3">
      <c r="A23" s="20"/>
      <c r="B23" s="20"/>
      <c r="C23" s="20"/>
      <c r="D23" s="20"/>
      <c r="E23" s="20"/>
      <c r="F23" s="20"/>
      <c r="G23" s="20"/>
      <c r="H23" s="20"/>
      <c r="I23" s="20"/>
      <c r="J23" s="20"/>
      <c r="K23" s="20"/>
      <c r="L23" s="20"/>
      <c r="M23" s="20"/>
      <c r="N23" s="20"/>
      <c r="O23" s="20"/>
      <c r="P23" s="20"/>
      <c r="Q23" s="34" t="s">
        <v>1001</v>
      </c>
      <c r="R23" s="33"/>
      <c r="S23" s="33"/>
      <c r="T23" s="33"/>
      <c r="U23" s="33"/>
      <c r="V23" s="33"/>
      <c r="W23" s="33"/>
      <c r="X23" s="20"/>
      <c r="Y23" s="20"/>
      <c r="Z23" s="20"/>
    </row>
    <row r="24" spans="1:26" x14ac:dyDescent="0.3">
      <c r="A24" s="20"/>
      <c r="B24" s="20"/>
      <c r="C24" s="20"/>
      <c r="D24" s="20"/>
      <c r="E24" s="20"/>
      <c r="F24" s="20"/>
      <c r="G24" s="20"/>
      <c r="H24" s="20"/>
      <c r="I24" s="20"/>
      <c r="J24" s="20"/>
      <c r="K24" s="20"/>
      <c r="L24" s="20"/>
      <c r="M24" s="20"/>
      <c r="N24" s="20"/>
      <c r="O24" s="20"/>
      <c r="P24" s="20"/>
      <c r="Q24" s="29" t="s">
        <v>24</v>
      </c>
      <c r="R24" s="21">
        <v>1233</v>
      </c>
      <c r="S24" s="21">
        <v>223</v>
      </c>
      <c r="T24" s="21">
        <v>1680</v>
      </c>
      <c r="U24" s="21">
        <v>990</v>
      </c>
      <c r="V24" s="21">
        <v>1508</v>
      </c>
      <c r="W24" s="21">
        <v>5634</v>
      </c>
      <c r="X24" s="20"/>
      <c r="Y24" s="20"/>
      <c r="Z24" s="20"/>
    </row>
    <row r="25" spans="1:26" x14ac:dyDescent="0.3">
      <c r="A25" s="20"/>
      <c r="B25" s="20"/>
      <c r="C25" s="20"/>
      <c r="D25" s="20"/>
      <c r="E25" s="20"/>
      <c r="F25" s="20"/>
      <c r="G25" s="20"/>
      <c r="H25" s="20"/>
      <c r="I25" s="20"/>
      <c r="J25" s="20"/>
      <c r="K25" s="20"/>
      <c r="L25" s="20"/>
      <c r="M25" s="20"/>
      <c r="N25" s="20"/>
      <c r="O25" s="20"/>
      <c r="P25" s="20"/>
      <c r="Q25" s="29" t="s">
        <v>15</v>
      </c>
      <c r="R25" s="21">
        <v>1598</v>
      </c>
      <c r="S25" s="21">
        <v>1907</v>
      </c>
      <c r="T25" s="21">
        <v>869</v>
      </c>
      <c r="U25" s="21">
        <v>1426</v>
      </c>
      <c r="V25" s="21">
        <v>1416</v>
      </c>
      <c r="W25" s="21">
        <v>7216</v>
      </c>
      <c r="X25" s="20"/>
      <c r="Y25" s="20"/>
      <c r="Z25" s="20"/>
    </row>
    <row r="26" spans="1:26" x14ac:dyDescent="0.3">
      <c r="A26" s="20"/>
      <c r="B26" s="20"/>
      <c r="C26" s="20"/>
      <c r="D26" s="20"/>
      <c r="E26" s="20"/>
      <c r="F26" s="20"/>
      <c r="G26" s="20"/>
      <c r="H26" s="20"/>
      <c r="I26" s="20"/>
      <c r="J26" s="20"/>
      <c r="K26" s="20"/>
      <c r="L26" s="20"/>
      <c r="M26" s="20"/>
      <c r="N26" s="20"/>
      <c r="O26" s="20"/>
      <c r="P26" s="20"/>
      <c r="Q26" s="29" t="s">
        <v>5</v>
      </c>
      <c r="R26" s="21">
        <v>900</v>
      </c>
      <c r="S26" s="21">
        <v>1016</v>
      </c>
      <c r="T26" s="21">
        <v>960</v>
      </c>
      <c r="U26" s="21">
        <v>940</v>
      </c>
      <c r="V26" s="21">
        <v>1193</v>
      </c>
      <c r="W26" s="21">
        <v>5009</v>
      </c>
      <c r="X26" s="20"/>
      <c r="Y26" s="20"/>
      <c r="Z26" s="20"/>
    </row>
    <row r="27" spans="1:26" x14ac:dyDescent="0.3">
      <c r="A27" s="20"/>
      <c r="B27" s="20"/>
      <c r="C27" s="20"/>
      <c r="D27" s="20"/>
      <c r="E27" s="20"/>
      <c r="F27" s="20"/>
      <c r="G27" s="20"/>
      <c r="H27" s="20"/>
      <c r="I27" s="20"/>
      <c r="J27" s="20"/>
      <c r="K27" s="20"/>
      <c r="L27" s="20"/>
      <c r="M27" s="20"/>
      <c r="N27" s="20"/>
      <c r="O27" s="20"/>
      <c r="P27" s="20"/>
      <c r="Q27" s="29" t="s">
        <v>18</v>
      </c>
      <c r="R27" s="21">
        <v>900</v>
      </c>
      <c r="S27" s="21">
        <v>1470</v>
      </c>
      <c r="T27" s="21">
        <v>1617</v>
      </c>
      <c r="U27" s="21">
        <v>1314</v>
      </c>
      <c r="V27" s="21">
        <v>941</v>
      </c>
      <c r="W27" s="21">
        <v>6242</v>
      </c>
      <c r="X27" s="20"/>
      <c r="Y27" s="20"/>
      <c r="Z27" s="20"/>
    </row>
    <row r="28" spans="1:26" x14ac:dyDescent="0.3">
      <c r="A28" s="20"/>
      <c r="B28" s="20"/>
      <c r="C28" s="20"/>
      <c r="D28" s="20"/>
      <c r="E28" s="20"/>
      <c r="F28" s="20"/>
      <c r="G28" s="20"/>
      <c r="H28" s="20"/>
      <c r="I28" s="20"/>
      <c r="J28" s="20"/>
      <c r="K28" s="20"/>
      <c r="L28" s="20"/>
      <c r="M28" s="20"/>
      <c r="N28" s="20"/>
      <c r="O28" s="20"/>
      <c r="P28" s="20"/>
      <c r="Q28" s="29" t="s">
        <v>14</v>
      </c>
      <c r="R28" s="21">
        <v>1255</v>
      </c>
      <c r="S28" s="21">
        <v>516</v>
      </c>
      <c r="T28" s="21">
        <v>1874</v>
      </c>
      <c r="U28" s="21">
        <v>1863</v>
      </c>
      <c r="V28" s="21">
        <v>1722</v>
      </c>
      <c r="W28" s="21">
        <v>7230</v>
      </c>
      <c r="X28" s="20"/>
      <c r="Y28" s="20"/>
      <c r="Z28" s="20"/>
    </row>
    <row r="29" spans="1:26" x14ac:dyDescent="0.3">
      <c r="A29" s="20"/>
      <c r="B29" s="20"/>
      <c r="C29" s="20"/>
      <c r="D29" s="20"/>
      <c r="E29" s="20"/>
      <c r="F29" s="20"/>
      <c r="G29" s="20"/>
      <c r="H29" s="20"/>
      <c r="I29" s="20"/>
      <c r="J29" s="20"/>
      <c r="K29" s="20"/>
      <c r="L29" s="20"/>
      <c r="M29" s="20"/>
      <c r="N29" s="20"/>
      <c r="O29" s="20"/>
      <c r="P29" s="20"/>
      <c r="Q29" s="29" t="s">
        <v>19</v>
      </c>
      <c r="R29" s="21">
        <v>1138</v>
      </c>
      <c r="S29" s="21">
        <v>1898</v>
      </c>
      <c r="T29" s="21">
        <v>1482</v>
      </c>
      <c r="U29" s="21">
        <v>846</v>
      </c>
      <c r="V29" s="21">
        <v>1154</v>
      </c>
      <c r="W29" s="21">
        <v>6518</v>
      </c>
      <c r="X29" s="20"/>
      <c r="Y29" s="20"/>
      <c r="Z29" s="20"/>
    </row>
    <row r="30" spans="1:26" x14ac:dyDescent="0.3">
      <c r="A30" s="20"/>
      <c r="B30" s="20"/>
      <c r="C30" s="20"/>
      <c r="D30" s="20"/>
      <c r="E30" s="20"/>
      <c r="F30" s="20"/>
      <c r="G30" s="20"/>
      <c r="H30" s="20"/>
      <c r="I30" s="20"/>
      <c r="J30" s="20"/>
      <c r="K30" s="20"/>
      <c r="L30" s="20"/>
      <c r="M30" s="20"/>
      <c r="N30" s="20"/>
      <c r="O30" s="20"/>
      <c r="P30" s="20"/>
      <c r="Q30" s="34" t="s">
        <v>1000</v>
      </c>
      <c r="R30" s="33"/>
      <c r="S30" s="33"/>
      <c r="T30" s="33"/>
      <c r="U30" s="33"/>
      <c r="V30" s="33"/>
      <c r="W30" s="33"/>
      <c r="X30" s="20"/>
      <c r="Y30" s="20"/>
      <c r="Z30" s="20"/>
    </row>
    <row r="31" spans="1:26" x14ac:dyDescent="0.3">
      <c r="A31" s="20"/>
      <c r="B31" s="20"/>
      <c r="C31" s="20"/>
      <c r="D31" s="20"/>
      <c r="E31" s="20"/>
      <c r="F31" s="20"/>
      <c r="G31" s="20"/>
      <c r="H31" s="20"/>
      <c r="I31" s="20"/>
      <c r="J31" s="20"/>
      <c r="K31" s="20"/>
      <c r="L31" s="20"/>
      <c r="M31" s="20"/>
      <c r="N31" s="20"/>
      <c r="O31" s="20"/>
      <c r="P31" s="20"/>
      <c r="Q31" s="29" t="s">
        <v>17</v>
      </c>
      <c r="R31" s="21">
        <v>1655</v>
      </c>
      <c r="S31" s="21">
        <v>805</v>
      </c>
      <c r="T31" s="21">
        <v>2263</v>
      </c>
      <c r="U31" s="21">
        <v>987</v>
      </c>
      <c r="V31" s="21">
        <v>1075</v>
      </c>
      <c r="W31" s="21">
        <v>6785</v>
      </c>
      <c r="X31" s="20"/>
      <c r="Y31" s="20"/>
      <c r="Z31" s="20"/>
    </row>
    <row r="32" spans="1:26" x14ac:dyDescent="0.3">
      <c r="A32" s="20"/>
      <c r="B32" s="20"/>
      <c r="C32" s="20"/>
      <c r="D32" s="20"/>
      <c r="E32" s="20"/>
      <c r="F32" s="20"/>
      <c r="G32" s="20"/>
      <c r="H32" s="20"/>
      <c r="I32" s="20"/>
      <c r="J32" s="20"/>
      <c r="K32" s="20"/>
      <c r="L32" s="20"/>
      <c r="M32" s="20"/>
      <c r="N32" s="20"/>
      <c r="O32" s="20"/>
      <c r="P32" s="20"/>
      <c r="Q32" s="29" t="s">
        <v>23</v>
      </c>
      <c r="R32" s="21">
        <v>1104</v>
      </c>
      <c r="S32" s="21">
        <v>2280</v>
      </c>
      <c r="T32" s="21">
        <v>1445</v>
      </c>
      <c r="U32" s="21">
        <v>1722</v>
      </c>
      <c r="V32" s="21">
        <v>1196</v>
      </c>
      <c r="W32" s="21">
        <v>7747</v>
      </c>
      <c r="X32" s="20"/>
      <c r="Y32" s="20"/>
      <c r="Z32" s="20"/>
    </row>
    <row r="33" spans="1:26" x14ac:dyDescent="0.3">
      <c r="A33" s="20"/>
      <c r="B33" s="20"/>
      <c r="C33" s="20"/>
      <c r="D33" s="20"/>
      <c r="E33" s="20"/>
      <c r="F33" s="20"/>
      <c r="G33" s="20"/>
      <c r="H33" s="20"/>
      <c r="I33" s="20"/>
      <c r="J33" s="20"/>
      <c r="K33" s="20"/>
      <c r="L33" s="20"/>
      <c r="M33" s="20"/>
      <c r="N33" s="20"/>
      <c r="O33" s="20"/>
      <c r="P33" s="20"/>
      <c r="Q33" s="29" t="s">
        <v>7</v>
      </c>
      <c r="R33" s="21">
        <v>372</v>
      </c>
      <c r="S33" s="21">
        <v>1818</v>
      </c>
      <c r="T33" s="21">
        <v>1346</v>
      </c>
      <c r="U33" s="21">
        <v>1156</v>
      </c>
      <c r="V33" s="21">
        <v>1484</v>
      </c>
      <c r="W33" s="21">
        <v>6176</v>
      </c>
      <c r="X33" s="20"/>
      <c r="Y33" s="20"/>
      <c r="Z33" s="20"/>
    </row>
    <row r="34" spans="1:26" x14ac:dyDescent="0.3">
      <c r="A34" s="20"/>
      <c r="B34" s="20"/>
      <c r="C34" s="20"/>
      <c r="D34" s="20"/>
      <c r="E34" s="20"/>
      <c r="F34" s="20"/>
      <c r="G34" s="20"/>
      <c r="H34" s="20"/>
      <c r="I34" s="20"/>
      <c r="J34" s="20"/>
      <c r="K34" s="20"/>
      <c r="L34" s="20"/>
      <c r="M34" s="20"/>
      <c r="N34" s="20"/>
      <c r="O34" s="20"/>
      <c r="P34" s="20"/>
      <c r="Q34" s="29" t="s">
        <v>22</v>
      </c>
      <c r="R34" s="21">
        <v>1415</v>
      </c>
      <c r="S34" s="21">
        <v>1271</v>
      </c>
      <c r="T34" s="21">
        <v>1214</v>
      </c>
      <c r="U34" s="21">
        <v>1135</v>
      </c>
      <c r="V34" s="21">
        <v>1566</v>
      </c>
      <c r="W34" s="21">
        <v>6601</v>
      </c>
      <c r="X34" s="20"/>
      <c r="Y34" s="20"/>
      <c r="Z34" s="20"/>
    </row>
    <row r="35" spans="1:26" x14ac:dyDescent="0.3">
      <c r="A35" s="20"/>
      <c r="B35" s="20"/>
      <c r="C35" s="20"/>
      <c r="D35" s="20"/>
      <c r="E35" s="20"/>
      <c r="F35" s="20"/>
      <c r="G35" s="20"/>
      <c r="H35" s="20"/>
      <c r="I35" s="20"/>
      <c r="J35" s="20"/>
      <c r="K35" s="20"/>
      <c r="L35" s="20"/>
      <c r="M35" s="20"/>
      <c r="N35" s="20"/>
      <c r="O35" s="20"/>
      <c r="P35" s="20"/>
      <c r="Q35" s="29" t="s">
        <v>21</v>
      </c>
      <c r="R35" s="21">
        <v>1362</v>
      </c>
      <c r="S35" s="21">
        <v>1363</v>
      </c>
      <c r="T35" s="21">
        <v>1152</v>
      </c>
      <c r="U35" s="21">
        <v>777</v>
      </c>
      <c r="V35" s="21">
        <v>750</v>
      </c>
      <c r="W35" s="21">
        <v>5404</v>
      </c>
      <c r="X35" s="20"/>
      <c r="Y35" s="20"/>
      <c r="Z35" s="20"/>
    </row>
    <row r="36" spans="1:26" x14ac:dyDescent="0.3">
      <c r="A36" s="20"/>
      <c r="B36" s="20"/>
      <c r="C36" s="20"/>
      <c r="D36" s="20"/>
      <c r="E36" s="20"/>
      <c r="F36" s="20"/>
      <c r="G36" s="20"/>
      <c r="H36" s="20"/>
      <c r="I36" s="20"/>
      <c r="J36" s="20"/>
      <c r="K36" s="20"/>
      <c r="L36" s="20"/>
      <c r="M36" s="20"/>
      <c r="N36" s="20"/>
      <c r="O36" s="20"/>
      <c r="P36" s="20"/>
      <c r="Q36" s="35" t="s">
        <v>1048</v>
      </c>
      <c r="R36" s="36">
        <v>18415</v>
      </c>
      <c r="S36" s="36">
        <v>20581</v>
      </c>
      <c r="T36" s="36">
        <v>20872</v>
      </c>
      <c r="U36" s="36">
        <v>16651</v>
      </c>
      <c r="V36" s="36">
        <v>20104</v>
      </c>
      <c r="W36" s="36">
        <v>96623</v>
      </c>
      <c r="X36" s="20"/>
      <c r="Y36" s="20"/>
      <c r="Z36" s="20"/>
    </row>
    <row r="37" spans="1:26"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sheetData>
  <conditionalFormatting sqref="R19:V35">
    <cfRule type="dataBar" priority="1">
      <dataBar>
        <cfvo type="min"/>
        <cfvo type="max"/>
        <color rgb="FFFFB628"/>
      </dataBar>
      <extLst>
        <ext xmlns:x14="http://schemas.microsoft.com/office/spreadsheetml/2009/9/main" uri="{B025F937-C7B1-47D3-B67F-A62EFF666E3E}">
          <x14:id>{F5285DE8-DA74-444C-ACC7-2C095D525D1E}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5285DE8-DA74-444C-ACC7-2C095D525D1E}">
            <x14:dataBar minLength="0" maxLength="100" border="1" negativeBarBorderColorSameAsPositive="0">
              <x14:cfvo type="autoMin"/>
              <x14:cfvo type="autoMax"/>
              <x14:borderColor rgb="FFFFB628"/>
              <x14:negativeFillColor rgb="FFFF0000"/>
              <x14:negativeBorderColor rgb="FFFF0000"/>
              <x14:axisColor rgb="FF000000"/>
            </x14:dataBar>
          </x14:cfRule>
          <xm:sqref>R19:V35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18" sqref="D18"/>
    </sheetView>
  </sheetViews>
  <sheetFormatPr defaultRowHeight="14.4" x14ac:dyDescent="0.3"/>
  <cols>
    <col min="5" max="5" width="10.8984375" customWidth="1"/>
    <col min="6" max="6" width="14.0976562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D2A58DA-0818-4D23-93C2-126B47EA39C7}">
  <ds:schemaRefs/>
</ds:datastoreItem>
</file>

<file path=customXml/itemProps2.xml><?xml version="1.0" encoding="utf-8"?>
<ds:datastoreItem xmlns:ds="http://schemas.openxmlformats.org/officeDocument/2006/customXml" ds:itemID="{7600F7AD-5BE4-453C-AE51-79AA038027B4}">
  <ds:schemaRefs/>
</ds:datastoreItem>
</file>

<file path=customXml/itemProps3.xml><?xml version="1.0" encoding="utf-8"?>
<ds:datastoreItem xmlns:ds="http://schemas.openxmlformats.org/officeDocument/2006/customXml" ds:itemID="{C5A31DEC-6522-4362-90AA-9EB4EA9B7CA7}">
  <ds:schemaRefs/>
</ds:datastoreItem>
</file>

<file path=customXml/itemProps4.xml><?xml version="1.0" encoding="utf-8"?>
<ds:datastoreItem xmlns:ds="http://schemas.openxmlformats.org/officeDocument/2006/customXml" ds:itemID="{F3CAEE04-D7BF-465A-A23F-C7E279112F01}">
  <ds:schemaRefs/>
</ds:datastoreItem>
</file>

<file path=customXml/itemProps5.xml><?xml version="1.0" encoding="utf-8"?>
<ds:datastoreItem xmlns:ds="http://schemas.openxmlformats.org/officeDocument/2006/customXml" ds:itemID="{51A5A77A-593B-48A5-AA1D-AF965B0E5355}">
  <ds:schemaRefs/>
</ds:datastoreItem>
</file>

<file path=customXml/itemProps6.xml><?xml version="1.0" encoding="utf-8"?>
<ds:datastoreItem xmlns:ds="http://schemas.openxmlformats.org/officeDocument/2006/customXml" ds:itemID="{BA36D286-7DDD-4CF0-89E8-969C54E9C5C2}">
  <ds:schemaRefs/>
</ds:datastoreItem>
</file>

<file path=customXml/itemProps7.xml><?xml version="1.0" encoding="utf-8"?>
<ds:datastoreItem xmlns:ds="http://schemas.openxmlformats.org/officeDocument/2006/customXml" ds:itemID="{23E05EF7-1525-4EFB-BE12-AC1D1B7AFDB2}">
  <ds:schemaRefs>
    <ds:schemaRef ds:uri="http://schemas.microsoft.com/DataMashup"/>
  </ds:schemaRefs>
</ds:datastoreItem>
</file>

<file path=customXml/itemProps8.xml><?xml version="1.0" encoding="utf-8"?>
<ds:datastoreItem xmlns:ds="http://schemas.openxmlformats.org/officeDocument/2006/customXml" ds:itemID="{B2DE5090-66BF-48D6-92B1-D35A19FA69C6}">
  <ds:schemaRefs/>
</ds:datastoreItem>
</file>

<file path=customXml/itemProps9.xml><?xml version="1.0" encoding="utf-8"?>
<ds:datastoreItem xmlns:ds="http://schemas.openxmlformats.org/officeDocument/2006/customXml" ds:itemID="{E3DCBD7B-6B8F-49FB-9CCE-BE6EAD18B4D9}">
  <ds:schemaRefs/>
</ds:datastoreItem>
</file>

<file path=customXml/itemProps10.xml><?xml version="1.0" encoding="utf-8"?>
<ds:datastoreItem xmlns:ds="http://schemas.openxmlformats.org/officeDocument/2006/customXml" ds:itemID="{BD34C23C-2AB0-43D0-BB69-25B0C699ED28}">
  <ds:schemaRefs/>
</ds:datastoreItem>
</file>

<file path=customXml/itemProps11.xml><?xml version="1.0" encoding="utf-8"?>
<ds:datastoreItem xmlns:ds="http://schemas.openxmlformats.org/officeDocument/2006/customXml" ds:itemID="{9A6DBB11-EF8C-4935-8A31-48CE208804FA}">
  <ds:schemaRefs/>
</ds:datastoreItem>
</file>

<file path=customXml/itemProps12.xml><?xml version="1.0" encoding="utf-8"?>
<ds:datastoreItem xmlns:ds="http://schemas.openxmlformats.org/officeDocument/2006/customXml" ds:itemID="{5085D4E2-AE7E-48E7-AE37-90C6B1957EE0}">
  <ds:schemaRefs/>
</ds:datastoreItem>
</file>

<file path=customXml/itemProps13.xml><?xml version="1.0" encoding="utf-8"?>
<ds:datastoreItem xmlns:ds="http://schemas.openxmlformats.org/officeDocument/2006/customXml" ds:itemID="{E504901E-1CDE-4425-AC26-5C5170D3AFCB}">
  <ds:schemaRefs/>
</ds:datastoreItem>
</file>

<file path=customXml/itemProps14.xml><?xml version="1.0" encoding="utf-8"?>
<ds:datastoreItem xmlns:ds="http://schemas.openxmlformats.org/officeDocument/2006/customXml" ds:itemID="{4671B0CF-9676-47A5-B6FA-9B719E33FB8E}">
  <ds:schemaRefs/>
</ds:datastoreItem>
</file>

<file path=customXml/itemProps15.xml><?xml version="1.0" encoding="utf-8"?>
<ds:datastoreItem xmlns:ds="http://schemas.openxmlformats.org/officeDocument/2006/customXml" ds:itemID="{98A40ABD-FB1B-438E-89CB-9BCD6A1B5829}">
  <ds:schemaRefs/>
</ds:datastoreItem>
</file>

<file path=customXml/itemProps16.xml><?xml version="1.0" encoding="utf-8"?>
<ds:datastoreItem xmlns:ds="http://schemas.openxmlformats.org/officeDocument/2006/customXml" ds:itemID="{A81B6CE5-301B-41D8-A287-749649A4DB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Remya Ajaykumar</cp:lastModifiedBy>
  <dcterms:created xsi:type="dcterms:W3CDTF">2021-03-14T20:21:32Z</dcterms:created>
  <dcterms:modified xsi:type="dcterms:W3CDTF">2026-04-17T12:56:52Z</dcterms:modified>
</cp:coreProperties>
</file>